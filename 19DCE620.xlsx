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kumar\ARO_project\data\"/>
    </mc:Choice>
  </mc:AlternateContent>
  <xr:revisionPtr revIDLastSave="0" documentId="8_{156E974A-62CC-4FF9-9C9C-D11C1DB9AF11}" xr6:coauthVersionLast="47" xr6:coauthVersionMax="47" xr10:uidLastSave="{00000000-0000-0000-0000-000000000000}"/>
  <bookViews>
    <workbookView xWindow="-108" yWindow="-108" windowWidth="23256" windowHeight="12456" xr2:uid="{DF97000E-727F-42AC-B6EF-5C7B7D4286C9}"/>
  </bookViews>
  <sheets>
    <sheet name="Indigo" sheetId="1" r:id="rId1"/>
    <sheet name="Singapore Airlines" sheetId="2" r:id="rId2"/>
    <sheet name="Air Canada" sheetId="3" r:id="rId3"/>
    <sheet name="Delta Airlin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6" i="4"/>
  <c r="G7" i="4"/>
  <c r="G8" i="4"/>
  <c r="G9" i="4"/>
  <c r="G10" i="4"/>
  <c r="G11" i="4"/>
  <c r="G12" i="4"/>
  <c r="G13" i="4"/>
  <c r="G14" i="4"/>
  <c r="G15" i="4"/>
  <c r="G16" i="4"/>
  <c r="G17" i="4"/>
  <c r="G22" i="4"/>
  <c r="G23" i="4"/>
  <c r="G24" i="4"/>
  <c r="G25" i="4"/>
  <c r="G26" i="4"/>
  <c r="G27" i="4"/>
  <c r="G28" i="4"/>
  <c r="G29" i="4"/>
  <c r="G30" i="4"/>
  <c r="G31" i="4"/>
  <c r="G32" i="4"/>
  <c r="G33" i="4"/>
  <c r="G38" i="4"/>
  <c r="G7" i="1"/>
  <c r="G8" i="1"/>
  <c r="G9" i="1"/>
  <c r="G10" i="1"/>
  <c r="G11" i="1"/>
  <c r="G12" i="1"/>
  <c r="G23" i="1"/>
  <c r="G24" i="1"/>
  <c r="G25" i="1"/>
  <c r="G26" i="1"/>
  <c r="G27" i="1"/>
  <c r="G28" i="1"/>
  <c r="G3" i="3"/>
  <c r="G4" i="3"/>
  <c r="G5" i="3"/>
  <c r="G6" i="3"/>
  <c r="G7" i="3"/>
  <c r="G17" i="3"/>
  <c r="G18" i="3"/>
  <c r="G19" i="3"/>
  <c r="G20" i="3"/>
  <c r="G21" i="3"/>
  <c r="G22" i="3"/>
  <c r="G23" i="3"/>
  <c r="G33" i="3"/>
  <c r="G34" i="3"/>
  <c r="G35" i="3"/>
  <c r="G36" i="3"/>
  <c r="G37" i="3"/>
  <c r="G38" i="3"/>
  <c r="G2" i="3"/>
  <c r="H15" i="2"/>
  <c r="H16" i="2"/>
  <c r="H17" i="2"/>
  <c r="H18" i="2"/>
  <c r="H31" i="2"/>
  <c r="H32" i="2"/>
  <c r="H33" i="2"/>
  <c r="H34" i="2"/>
  <c r="G12" i="2"/>
  <c r="G13" i="2"/>
  <c r="G28" i="2"/>
  <c r="G29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2" i="3"/>
  <c r="F3" i="2"/>
  <c r="H2" i="2" s="1"/>
  <c r="F4" i="2"/>
  <c r="H3" i="2" s="1"/>
  <c r="F5" i="2"/>
  <c r="H4" i="2" s="1"/>
  <c r="F6" i="2"/>
  <c r="H5" i="2" s="1"/>
  <c r="F7" i="2"/>
  <c r="H6" i="2" s="1"/>
  <c r="F8" i="2"/>
  <c r="H7" i="2" s="1"/>
  <c r="F9" i="2"/>
  <c r="H8" i="2" s="1"/>
  <c r="F10" i="2"/>
  <c r="H9" i="2" s="1"/>
  <c r="F11" i="2"/>
  <c r="H10" i="2" s="1"/>
  <c r="F12" i="2"/>
  <c r="H11" i="2" s="1"/>
  <c r="F13" i="2"/>
  <c r="H12" i="2" s="1"/>
  <c r="F14" i="2"/>
  <c r="H13" i="2" s="1"/>
  <c r="F15" i="2"/>
  <c r="F16" i="2"/>
  <c r="F17" i="2"/>
  <c r="F18" i="2"/>
  <c r="F19" i="2"/>
  <c r="F20" i="2"/>
  <c r="H19" i="2" s="1"/>
  <c r="F21" i="2"/>
  <c r="H20" i="2" s="1"/>
  <c r="F22" i="2"/>
  <c r="H21" i="2" s="1"/>
  <c r="F23" i="2"/>
  <c r="H22" i="2" s="1"/>
  <c r="F24" i="2"/>
  <c r="H23" i="2" s="1"/>
  <c r="F25" i="2"/>
  <c r="H24" i="2" s="1"/>
  <c r="F26" i="2"/>
  <c r="H25" i="2" s="1"/>
  <c r="F27" i="2"/>
  <c r="H26" i="2" s="1"/>
  <c r="F28" i="2"/>
  <c r="H27" i="2" s="1"/>
  <c r="F29" i="2"/>
  <c r="H28" i="2" s="1"/>
  <c r="F30" i="2"/>
  <c r="H29" i="2" s="1"/>
  <c r="F31" i="2"/>
  <c r="F32" i="2"/>
  <c r="F33" i="2"/>
  <c r="F34" i="2"/>
  <c r="F35" i="2"/>
  <c r="F36" i="2"/>
  <c r="H35" i="2" s="1"/>
  <c r="F37" i="2"/>
  <c r="H36" i="2" s="1"/>
  <c r="F38" i="2"/>
  <c r="H37" i="2" s="1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E3" i="4"/>
  <c r="G2" i="4" s="1"/>
  <c r="E4" i="4"/>
  <c r="G3" i="4" s="1"/>
  <c r="E5" i="4"/>
  <c r="G4" i="4" s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G18" i="4" s="1"/>
  <c r="E20" i="4"/>
  <c r="G19" i="4" s="1"/>
  <c r="E21" i="4"/>
  <c r="G21" i="4" s="1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G34" i="4" s="1"/>
  <c r="E36" i="4"/>
  <c r="G35" i="4" s="1"/>
  <c r="E37" i="4"/>
  <c r="G36" i="4" s="1"/>
  <c r="E38" i="4"/>
  <c r="E2" i="4"/>
  <c r="E3" i="3"/>
  <c r="E4" i="3"/>
  <c r="E5" i="3"/>
  <c r="E6" i="3"/>
  <c r="E7" i="3"/>
  <c r="E8" i="3"/>
  <c r="E9" i="3"/>
  <c r="G8" i="3" s="1"/>
  <c r="E10" i="3"/>
  <c r="G9" i="3" s="1"/>
  <c r="E11" i="3"/>
  <c r="G10" i="3" s="1"/>
  <c r="E12" i="3"/>
  <c r="G11" i="3" s="1"/>
  <c r="E13" i="3"/>
  <c r="G12" i="3" s="1"/>
  <c r="E14" i="3"/>
  <c r="G13" i="3" s="1"/>
  <c r="E15" i="3"/>
  <c r="G14" i="3" s="1"/>
  <c r="E16" i="3"/>
  <c r="G15" i="3" s="1"/>
  <c r="E17" i="3"/>
  <c r="E18" i="3"/>
  <c r="E19" i="3"/>
  <c r="E20" i="3"/>
  <c r="E21" i="3"/>
  <c r="E22" i="3"/>
  <c r="E23" i="3"/>
  <c r="E24" i="3"/>
  <c r="E25" i="3"/>
  <c r="G24" i="3" s="1"/>
  <c r="E26" i="3"/>
  <c r="G25" i="3" s="1"/>
  <c r="E27" i="3"/>
  <c r="G26" i="3" s="1"/>
  <c r="E28" i="3"/>
  <c r="G27" i="3" s="1"/>
  <c r="E29" i="3"/>
  <c r="G28" i="3" s="1"/>
  <c r="E30" i="3"/>
  <c r="G29" i="3" s="1"/>
  <c r="E31" i="3"/>
  <c r="G30" i="3" s="1"/>
  <c r="E32" i="3"/>
  <c r="G31" i="3" s="1"/>
  <c r="E33" i="3"/>
  <c r="E34" i="3"/>
  <c r="E35" i="3"/>
  <c r="E36" i="3"/>
  <c r="E37" i="3"/>
  <c r="E38" i="3"/>
  <c r="E2" i="3"/>
  <c r="E3" i="2"/>
  <c r="E4" i="2"/>
  <c r="G3" i="2" s="1"/>
  <c r="E5" i="2"/>
  <c r="G4" i="2" s="1"/>
  <c r="E6" i="2"/>
  <c r="G5" i="2" s="1"/>
  <c r="E7" i="2"/>
  <c r="G6" i="2" s="1"/>
  <c r="E8" i="2"/>
  <c r="G7" i="2" s="1"/>
  <c r="E9" i="2"/>
  <c r="G8" i="2" s="1"/>
  <c r="E10" i="2"/>
  <c r="G9" i="2" s="1"/>
  <c r="E11" i="2"/>
  <c r="G10" i="2" s="1"/>
  <c r="E12" i="2"/>
  <c r="E13" i="2"/>
  <c r="E14" i="2"/>
  <c r="E15" i="2"/>
  <c r="G14" i="2" s="1"/>
  <c r="E16" i="2"/>
  <c r="G15" i="2" s="1"/>
  <c r="E17" i="2"/>
  <c r="G16" i="2" s="1"/>
  <c r="E18" i="2"/>
  <c r="G17" i="2" s="1"/>
  <c r="E19" i="2"/>
  <c r="G18" i="2" s="1"/>
  <c r="E20" i="2"/>
  <c r="G19" i="2" s="1"/>
  <c r="E21" i="2"/>
  <c r="G20" i="2" s="1"/>
  <c r="E22" i="2"/>
  <c r="G21" i="2" s="1"/>
  <c r="E23" i="2"/>
  <c r="G22" i="2" s="1"/>
  <c r="E24" i="2"/>
  <c r="G23" i="2" s="1"/>
  <c r="E25" i="2"/>
  <c r="G24" i="2" s="1"/>
  <c r="E26" i="2"/>
  <c r="G25" i="2" s="1"/>
  <c r="E27" i="2"/>
  <c r="G26" i="2" s="1"/>
  <c r="E28" i="2"/>
  <c r="E29" i="2"/>
  <c r="E30" i="2"/>
  <c r="E31" i="2"/>
  <c r="G30" i="2" s="1"/>
  <c r="E32" i="2"/>
  <c r="G31" i="2" s="1"/>
  <c r="E33" i="2"/>
  <c r="G32" i="2" s="1"/>
  <c r="E34" i="2"/>
  <c r="G33" i="2" s="1"/>
  <c r="E35" i="2"/>
  <c r="G34" i="2" s="1"/>
  <c r="E36" i="2"/>
  <c r="G35" i="2" s="1"/>
  <c r="E37" i="2"/>
  <c r="G36" i="2" s="1"/>
  <c r="E38" i="2"/>
  <c r="G37" i="2" s="1"/>
  <c r="E2" i="2"/>
  <c r="G2" i="2" s="1"/>
  <c r="E3" i="1"/>
  <c r="G2" i="1" s="1"/>
  <c r="E4" i="1"/>
  <c r="G3" i="1" s="1"/>
  <c r="E5" i="1"/>
  <c r="G4" i="1" s="1"/>
  <c r="E6" i="1"/>
  <c r="G5" i="1" s="1"/>
  <c r="E7" i="1"/>
  <c r="E8" i="1"/>
  <c r="E9" i="1"/>
  <c r="E10" i="1"/>
  <c r="E11" i="1"/>
  <c r="E12" i="1"/>
  <c r="E13" i="1"/>
  <c r="E14" i="1"/>
  <c r="G13" i="1" s="1"/>
  <c r="E15" i="1"/>
  <c r="G14" i="1" s="1"/>
  <c r="E16" i="1"/>
  <c r="G15" i="1" s="1"/>
  <c r="E17" i="1"/>
  <c r="G16" i="1" s="1"/>
  <c r="E18" i="1"/>
  <c r="G17" i="1" s="1"/>
  <c r="E19" i="1"/>
  <c r="G18" i="1" s="1"/>
  <c r="E20" i="1"/>
  <c r="G19" i="1" s="1"/>
  <c r="E21" i="1"/>
  <c r="G20" i="1" s="1"/>
  <c r="E22" i="1"/>
  <c r="G21" i="1" s="1"/>
  <c r="E23" i="1"/>
  <c r="E24" i="1"/>
  <c r="E25" i="1"/>
  <c r="E26" i="1"/>
  <c r="E27" i="1"/>
  <c r="E28" i="1"/>
  <c r="E29" i="1"/>
  <c r="E30" i="1"/>
  <c r="G29" i="1" s="1"/>
  <c r="E31" i="1"/>
  <c r="G30" i="1" s="1"/>
  <c r="E32" i="1"/>
  <c r="G31" i="1" s="1"/>
  <c r="E33" i="1"/>
  <c r="G32" i="1" s="1"/>
  <c r="E34" i="1"/>
  <c r="G33" i="1" s="1"/>
  <c r="E35" i="1"/>
  <c r="G34" i="1" s="1"/>
  <c r="E36" i="1"/>
  <c r="G35" i="1" s="1"/>
  <c r="E37" i="1"/>
  <c r="G36" i="1" s="1"/>
  <c r="E38" i="1"/>
  <c r="G37" i="1" s="1"/>
  <c r="E2" i="1"/>
  <c r="G27" i="2" l="1"/>
  <c r="G11" i="2"/>
  <c r="H30" i="2"/>
  <c r="H14" i="2"/>
  <c r="G38" i="1"/>
  <c r="G22" i="1"/>
  <c r="G6" i="1"/>
  <c r="G38" i="2"/>
  <c r="G32" i="3"/>
  <c r="G16" i="3"/>
  <c r="G37" i="4"/>
  <c r="G20" i="4"/>
  <c r="H38" i="2"/>
  <c r="G5" i="4"/>
</calcChain>
</file>

<file path=xl/sharedStrings.xml><?xml version="1.0" encoding="utf-8"?>
<sst xmlns="http://schemas.openxmlformats.org/spreadsheetml/2006/main" count="32" uniqueCount="8">
  <si>
    <t>Index</t>
  </si>
  <si>
    <t>Real Yield</t>
  </si>
  <si>
    <t>Real Brent Crude</t>
  </si>
  <si>
    <t>Revenue</t>
  </si>
  <si>
    <t>Log_Revenue</t>
  </si>
  <si>
    <t>Log_Crude</t>
  </si>
  <si>
    <t>Revenue_check</t>
  </si>
  <si>
    <t>Crude_check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</si>
</sst>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25D2-9747-441E-A36A-1B429C6443D0}">
  <dimension ref="A1:H38"/>
  <sheetViews>
    <sheetView tabSelected="1" workbookViewId="0">
      <selection activeCell="I5" sqref="I5"/>
    </sheetView>
  </sheetViews>
  <sheetFormatPr defaultRowHeight="14.4" x14ac:dyDescent="0.3"/>
  <cols>
    <col min="3" max="3" width="14.77734375" bestFit="1" customWidth="1"/>
    <col min="4" max="4" width="10.44140625" style="1" bestFit="1" customWidth="1"/>
    <col min="5" max="5" width="16" bestFit="1" customWidth="1"/>
    <col min="6" max="6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16.369450788799959</v>
      </c>
      <c r="C2">
        <v>35.09819151813636</v>
      </c>
      <c r="D2" s="1">
        <v>158292.5891276956</v>
      </c>
      <c r="E2">
        <f>LOG10(D2)</f>
        <v>5.1994605827316684</v>
      </c>
      <c r="F2">
        <f>LOG10(C2)</f>
        <v>1.5452847394308267</v>
      </c>
      <c r="G2">
        <f>E3-E2</f>
        <v>2.5657117328781176E-2</v>
      </c>
      <c r="H2">
        <v>0.12192006688271695</v>
      </c>
    </row>
    <row r="3" spans="1:8" x14ac:dyDescent="0.3">
      <c r="A3">
        <v>2</v>
      </c>
      <c r="B3">
        <v>15.872013798229482</v>
      </c>
      <c r="C3">
        <v>46.473438483804742</v>
      </c>
      <c r="D3" s="1">
        <v>167925.90598526792</v>
      </c>
      <c r="E3">
        <f t="shared" ref="E3:E38" si="0">LOG10(D3)</f>
        <v>5.2251177000604496</v>
      </c>
      <c r="F3">
        <f t="shared" ref="F3:F38" si="1">LOG10(C3)</f>
        <v>1.6672048063135436</v>
      </c>
      <c r="G3">
        <f t="shared" ref="G3:G38" si="2">E4-E3</f>
        <v>9.6708426165509564E-2</v>
      </c>
      <c r="H3">
        <v>-1.5783054188938106E-3</v>
      </c>
    </row>
    <row r="4" spans="1:8" x14ac:dyDescent="0.3">
      <c r="A4">
        <v>3</v>
      </c>
      <c r="B4">
        <v>19.073633836444486</v>
      </c>
      <c r="C4">
        <v>46.304852048057228</v>
      </c>
      <c r="D4" s="1">
        <v>209809.97220088934</v>
      </c>
      <c r="E4">
        <f t="shared" si="0"/>
        <v>5.3218261262259592</v>
      </c>
      <c r="F4">
        <f t="shared" si="1"/>
        <v>1.6656265008946498</v>
      </c>
      <c r="G4">
        <f t="shared" si="2"/>
        <v>4.4339282988657303E-2</v>
      </c>
      <c r="H4">
        <v>3.3712047762656239E-2</v>
      </c>
    </row>
    <row r="5" spans="1:8" x14ac:dyDescent="0.3">
      <c r="A5">
        <v>4</v>
      </c>
      <c r="B5">
        <v>18.441441450834464</v>
      </c>
      <c r="C5">
        <v>50.042448241355551</v>
      </c>
      <c r="D5" s="1">
        <v>232362.16228051425</v>
      </c>
      <c r="E5">
        <f t="shared" si="0"/>
        <v>5.3661654092146165</v>
      </c>
      <c r="F5">
        <f t="shared" si="1"/>
        <v>1.699338548657306</v>
      </c>
      <c r="G5">
        <f t="shared" si="2"/>
        <v>-3.2908840815428775E-2</v>
      </c>
      <c r="H5">
        <v>2.7254940310033282E-2</v>
      </c>
    </row>
    <row r="6" spans="1:8" x14ac:dyDescent="0.3">
      <c r="A6">
        <v>5</v>
      </c>
      <c r="B6">
        <v>17.656179594792722</v>
      </c>
      <c r="C6">
        <v>53.283591359513949</v>
      </c>
      <c r="D6" s="1">
        <v>215405.39105647121</v>
      </c>
      <c r="E6">
        <f t="shared" si="0"/>
        <v>5.3332565683991877</v>
      </c>
      <c r="F6">
        <f t="shared" si="1"/>
        <v>1.7265934889673393</v>
      </c>
      <c r="G6">
        <f t="shared" si="2"/>
        <v>-9.4016943554979804E-3</v>
      </c>
      <c r="H6">
        <v>-3.186025766583489E-2</v>
      </c>
    </row>
    <row r="7" spans="1:8" x14ac:dyDescent="0.3">
      <c r="A7">
        <v>6</v>
      </c>
      <c r="B7">
        <v>15.84904991137789</v>
      </c>
      <c r="C7">
        <v>49.514595019620323</v>
      </c>
      <c r="D7" s="1">
        <v>210792.36382132594</v>
      </c>
      <c r="E7">
        <f t="shared" si="0"/>
        <v>5.3238548740436897</v>
      </c>
      <c r="F7">
        <f t="shared" si="1"/>
        <v>1.6947332313015044</v>
      </c>
      <c r="G7">
        <f t="shared" si="2"/>
        <v>4.5490218190664677E-3</v>
      </c>
      <c r="H7">
        <v>8.3994511265832461E-3</v>
      </c>
    </row>
    <row r="8" spans="1:8" x14ac:dyDescent="0.3">
      <c r="A8">
        <v>7</v>
      </c>
      <c r="B8">
        <v>16.77259169824865</v>
      </c>
      <c r="C8">
        <v>50.481550149350717</v>
      </c>
      <c r="D8" s="1">
        <v>213011.91456775786</v>
      </c>
      <c r="E8">
        <f t="shared" si="0"/>
        <v>5.3284038958627562</v>
      </c>
      <c r="F8">
        <f t="shared" si="1"/>
        <v>1.7031326824280877</v>
      </c>
      <c r="G8">
        <f t="shared" si="2"/>
        <v>2.6573235244395477E-2</v>
      </c>
      <c r="H8">
        <v>6.7230932088937934E-2</v>
      </c>
    </row>
    <row r="9" spans="1:8" x14ac:dyDescent="0.3">
      <c r="A9">
        <v>8</v>
      </c>
      <c r="B9">
        <v>15.725868472656781</v>
      </c>
      <c r="C9">
        <v>58.933687313368807</v>
      </c>
      <c r="D9" s="1">
        <v>226452.50600625767</v>
      </c>
      <c r="E9">
        <f t="shared" si="0"/>
        <v>5.3549771311071517</v>
      </c>
      <c r="F9">
        <f t="shared" si="1"/>
        <v>1.7703636145170256</v>
      </c>
      <c r="G9">
        <f t="shared" si="2"/>
        <v>7.9966920782855055E-2</v>
      </c>
      <c r="H9">
        <v>3.4732982241375776E-2</v>
      </c>
    </row>
    <row r="10" spans="1:8" x14ac:dyDescent="0.3">
      <c r="A10">
        <v>9</v>
      </c>
      <c r="B10">
        <v>17.910201170397723</v>
      </c>
      <c r="C10">
        <v>63.840546598417049</v>
      </c>
      <c r="D10" s="1">
        <v>272235.05779004539</v>
      </c>
      <c r="E10">
        <f t="shared" si="0"/>
        <v>5.4349440518900067</v>
      </c>
      <c r="F10">
        <f t="shared" si="1"/>
        <v>1.8050965967584014</v>
      </c>
      <c r="G10">
        <f t="shared" si="2"/>
        <v>-1.0107238098742144E-3</v>
      </c>
      <c r="H10">
        <v>4.4961411260354023E-2</v>
      </c>
    </row>
    <row r="11" spans="1:8" x14ac:dyDescent="0.3">
      <c r="A11">
        <v>10</v>
      </c>
      <c r="B11">
        <v>17.081901126741563</v>
      </c>
      <c r="C11">
        <v>70.804034988466199</v>
      </c>
      <c r="D11" s="1">
        <v>271602.22791519086</v>
      </c>
      <c r="E11">
        <f t="shared" si="0"/>
        <v>5.4339333280801325</v>
      </c>
      <c r="F11">
        <f t="shared" si="1"/>
        <v>1.8500580080187554</v>
      </c>
      <c r="G11">
        <f t="shared" si="2"/>
        <v>7.3989059791636613E-2</v>
      </c>
      <c r="H11">
        <v>5.1119086277107151E-3</v>
      </c>
    </row>
    <row r="12" spans="1:8" x14ac:dyDescent="0.3">
      <c r="A12">
        <v>11</v>
      </c>
      <c r="B12">
        <v>19.637153721027293</v>
      </c>
      <c r="C12">
        <v>71.642365437727776</v>
      </c>
      <c r="D12" s="1">
        <v>322049.32102484762</v>
      </c>
      <c r="E12">
        <f t="shared" si="0"/>
        <v>5.5079223878717691</v>
      </c>
      <c r="F12">
        <f t="shared" si="1"/>
        <v>1.8551699166464661</v>
      </c>
      <c r="G12">
        <f t="shared" si="2"/>
        <v>-4.5202398267810473E-2</v>
      </c>
      <c r="H12">
        <v>-4.8493749650036611E-2</v>
      </c>
    </row>
    <row r="13" spans="1:8" x14ac:dyDescent="0.3">
      <c r="A13">
        <v>12</v>
      </c>
      <c r="B13">
        <v>15.77255921642867</v>
      </c>
      <c r="C13">
        <v>64.073163492231856</v>
      </c>
      <c r="D13" s="1">
        <v>290215.08958228753</v>
      </c>
      <c r="E13">
        <f t="shared" si="0"/>
        <v>5.4627199896039587</v>
      </c>
      <c r="F13">
        <f t="shared" si="1"/>
        <v>1.8066761669964295</v>
      </c>
      <c r="G13">
        <f t="shared" si="2"/>
        <v>1.7253424414575669E-2</v>
      </c>
      <c r="H13">
        <v>-3.1179607906453244E-2</v>
      </c>
    </row>
    <row r="14" spans="1:8" x14ac:dyDescent="0.3">
      <c r="A14">
        <v>13</v>
      </c>
      <c r="B14">
        <v>15.893509764381434</v>
      </c>
      <c r="C14">
        <v>59.634359499218604</v>
      </c>
      <c r="D14" s="1">
        <v>301976.68552324723</v>
      </c>
      <c r="E14">
        <f t="shared" si="0"/>
        <v>5.4799734140185343</v>
      </c>
      <c r="F14">
        <f t="shared" si="1"/>
        <v>1.7754965590899763</v>
      </c>
      <c r="G14">
        <f t="shared" si="2"/>
        <v>-1.604053223694013E-2</v>
      </c>
      <c r="H14">
        <v>2.7083178045576473E-2</v>
      </c>
    </row>
    <row r="15" spans="1:8" x14ac:dyDescent="0.3">
      <c r="A15">
        <v>14</v>
      </c>
      <c r="B15">
        <v>14.059262390613632</v>
      </c>
      <c r="C15">
        <v>63.471642519687435</v>
      </c>
      <c r="D15" s="1">
        <v>291026.73148570221</v>
      </c>
      <c r="E15">
        <f t="shared" si="0"/>
        <v>5.4639328817815942</v>
      </c>
      <c r="F15">
        <f t="shared" si="1"/>
        <v>1.8025797371355528</v>
      </c>
      <c r="G15">
        <f t="shared" si="2"/>
        <v>5.6087645784881346E-2</v>
      </c>
      <c r="H15">
        <v>-4.2960851721309146E-2</v>
      </c>
    </row>
    <row r="16" spans="1:8" x14ac:dyDescent="0.3">
      <c r="A16">
        <v>15</v>
      </c>
      <c r="B16">
        <v>16.39340461639771</v>
      </c>
      <c r="C16">
        <v>57.493518223745575</v>
      </c>
      <c r="D16" s="1">
        <v>331146.77325123374</v>
      </c>
      <c r="E16">
        <f t="shared" si="0"/>
        <v>5.5200205275664755</v>
      </c>
      <c r="F16">
        <f t="shared" si="1"/>
        <v>1.7596188854142436</v>
      </c>
      <c r="G16">
        <f t="shared" si="2"/>
        <v>2.4667026104285839E-4</v>
      </c>
      <c r="H16">
        <v>-3.331227337644016E-5</v>
      </c>
    </row>
    <row r="17" spans="1:8" x14ac:dyDescent="0.3">
      <c r="A17">
        <v>16</v>
      </c>
      <c r="B17">
        <v>14.660836777725358</v>
      </c>
      <c r="C17">
        <v>57.489108390269614</v>
      </c>
      <c r="D17" s="1">
        <v>331334.9111765931</v>
      </c>
      <c r="E17">
        <f t="shared" si="0"/>
        <v>5.5202671978275184</v>
      </c>
      <c r="F17">
        <f t="shared" si="1"/>
        <v>1.7595855731408672</v>
      </c>
      <c r="G17">
        <f t="shared" si="2"/>
        <v>-3.3562766390172527E-2</v>
      </c>
      <c r="H17">
        <v>-8.8736332715691812E-2</v>
      </c>
    </row>
    <row r="18" spans="1:8" x14ac:dyDescent="0.3">
      <c r="A18">
        <v>17</v>
      </c>
      <c r="B18">
        <v>16.057246121811719</v>
      </c>
      <c r="C18">
        <v>46.865066803526787</v>
      </c>
      <c r="D18" s="1">
        <v>306693.40092660382</v>
      </c>
      <c r="E18">
        <f t="shared" si="0"/>
        <v>5.4867044314373459</v>
      </c>
      <c r="F18">
        <f t="shared" si="1"/>
        <v>1.6708492404251754</v>
      </c>
      <c r="G18">
        <f t="shared" si="2"/>
        <v>-1.2522440530875762</v>
      </c>
      <c r="H18">
        <v>-0.1813829343411808</v>
      </c>
    </row>
    <row r="19" spans="1:8" x14ac:dyDescent="0.3">
      <c r="A19">
        <v>18</v>
      </c>
      <c r="B19">
        <v>13.198270530773787</v>
      </c>
      <c r="C19">
        <v>30.865001761158585</v>
      </c>
      <c r="D19" s="1">
        <v>17157.751690005924</v>
      </c>
      <c r="E19">
        <f t="shared" si="0"/>
        <v>4.2344603783497696</v>
      </c>
      <c r="F19">
        <f t="shared" si="1"/>
        <v>1.4894663060839946</v>
      </c>
      <c r="G19">
        <f t="shared" si="2"/>
        <v>0.70152983698995452</v>
      </c>
      <c r="H19">
        <v>0.1094500038541395</v>
      </c>
    </row>
    <row r="20" spans="1:8" x14ac:dyDescent="0.3">
      <c r="A20">
        <v>19</v>
      </c>
      <c r="B20">
        <v>14.878605259796336</v>
      </c>
      <c r="C20">
        <v>39.711501664641006</v>
      </c>
      <c r="D20" s="1">
        <v>86295.910506818749</v>
      </c>
      <c r="E20">
        <f t="shared" si="0"/>
        <v>4.9359902153397242</v>
      </c>
      <c r="F20">
        <f t="shared" si="1"/>
        <v>1.5989163099381341</v>
      </c>
      <c r="G20">
        <f t="shared" si="2"/>
        <v>0.281848670538694</v>
      </c>
      <c r="H20">
        <v>1.5567630411964739E-2</v>
      </c>
    </row>
    <row r="21" spans="1:8" x14ac:dyDescent="0.3">
      <c r="A21">
        <v>20</v>
      </c>
      <c r="B21">
        <v>15.012264261789841</v>
      </c>
      <c r="C21">
        <v>41.160812628361477</v>
      </c>
      <c r="D21" s="1">
        <v>165134.90687968826</v>
      </c>
      <c r="E21">
        <f t="shared" si="0"/>
        <v>5.2178388858784182</v>
      </c>
      <c r="F21">
        <f t="shared" si="1"/>
        <v>1.6144839403500988</v>
      </c>
      <c r="G21">
        <f t="shared" si="2"/>
        <v>9.2539418887532143E-2</v>
      </c>
      <c r="H21">
        <v>0.12541964299442254</v>
      </c>
    </row>
    <row r="22" spans="1:8" x14ac:dyDescent="0.3">
      <c r="A22">
        <v>21</v>
      </c>
      <c r="B22">
        <v>15.137164699117138</v>
      </c>
      <c r="C22">
        <v>54.941888517431003</v>
      </c>
      <c r="D22" s="1">
        <v>204351.72343808136</v>
      </c>
      <c r="E22">
        <f t="shared" si="0"/>
        <v>5.3103783047659503</v>
      </c>
      <c r="F22">
        <f t="shared" si="1"/>
        <v>1.7399035833445213</v>
      </c>
      <c r="G22">
        <f t="shared" si="2"/>
        <v>-0.28505296366717303</v>
      </c>
      <c r="H22">
        <v>4.5503680096285581E-2</v>
      </c>
    </row>
    <row r="23" spans="1:8" x14ac:dyDescent="0.3">
      <c r="A23">
        <v>22</v>
      </c>
      <c r="B23">
        <v>16.061326310861155</v>
      </c>
      <c r="C23">
        <v>61.010876387998415</v>
      </c>
      <c r="D23" s="1">
        <v>106004.75365168363</v>
      </c>
      <c r="E23">
        <f t="shared" si="0"/>
        <v>5.0253253410987773</v>
      </c>
      <c r="F23">
        <f t="shared" si="1"/>
        <v>1.7854072634408069</v>
      </c>
      <c r="G23">
        <f t="shared" si="2"/>
        <v>0.14008983420459131</v>
      </c>
      <c r="H23">
        <v>1.8153154245813541E-2</v>
      </c>
    </row>
    <row r="24" spans="1:8" x14ac:dyDescent="0.3">
      <c r="A24">
        <v>23</v>
      </c>
      <c r="B24">
        <v>13.067639730095451</v>
      </c>
      <c r="C24">
        <v>63.615129805564273</v>
      </c>
      <c r="D24" s="1">
        <v>146357.56497706904</v>
      </c>
      <c r="E24">
        <f t="shared" si="0"/>
        <v>5.1654151753033686</v>
      </c>
      <c r="F24">
        <f t="shared" si="1"/>
        <v>1.8035604176866205</v>
      </c>
      <c r="G24">
        <f t="shared" si="2"/>
        <v>0.18314035945315243</v>
      </c>
      <c r="H24">
        <v>2.8089499986495126E-2</v>
      </c>
    </row>
    <row r="25" spans="1:8" x14ac:dyDescent="0.3">
      <c r="A25">
        <v>24</v>
      </c>
      <c r="B25">
        <v>12.192827933275257</v>
      </c>
      <c r="C25">
        <v>67.865635101826712</v>
      </c>
      <c r="D25" s="1">
        <v>223128.75117893721</v>
      </c>
      <c r="E25">
        <f t="shared" si="0"/>
        <v>5.348555534756521</v>
      </c>
      <c r="F25">
        <f t="shared" si="1"/>
        <v>1.8316499176731156</v>
      </c>
      <c r="G25">
        <f t="shared" si="2"/>
        <v>-6.0229025725036855E-2</v>
      </c>
      <c r="H25">
        <v>7.7244704916414886E-2</v>
      </c>
    </row>
    <row r="26" spans="1:8" x14ac:dyDescent="0.3">
      <c r="A26">
        <v>25</v>
      </c>
      <c r="B26">
        <v>12.450933416877151</v>
      </c>
      <c r="C26">
        <v>81.076430976468146</v>
      </c>
      <c r="D26" s="1">
        <v>194234.56130328355</v>
      </c>
      <c r="E26">
        <f t="shared" si="0"/>
        <v>5.2883265090314842</v>
      </c>
      <c r="F26">
        <f t="shared" si="1"/>
        <v>1.9088946225895305</v>
      </c>
      <c r="G26">
        <f t="shared" si="2"/>
        <v>7.8532752039087939E-2</v>
      </c>
      <c r="H26">
        <v>5.0162922462953841E-2</v>
      </c>
    </row>
    <row r="27" spans="1:8" x14ac:dyDescent="0.3">
      <c r="A27">
        <v>26</v>
      </c>
      <c r="B27">
        <v>10.627109273146145</v>
      </c>
      <c r="C27">
        <v>91.003384629446487</v>
      </c>
      <c r="D27" s="1">
        <v>232733.69308190056</v>
      </c>
      <c r="E27">
        <f t="shared" si="0"/>
        <v>5.3668592610705721</v>
      </c>
      <c r="F27">
        <f t="shared" si="1"/>
        <v>1.9590575450524843</v>
      </c>
      <c r="G27">
        <f t="shared" si="2"/>
        <v>2.2573890823583298E-2</v>
      </c>
      <c r="H27">
        <v>-6.4381885090446955E-2</v>
      </c>
    </row>
    <row r="28" spans="1:8" x14ac:dyDescent="0.3">
      <c r="A28">
        <v>27</v>
      </c>
      <c r="B28">
        <v>11.194096257235195</v>
      </c>
      <c r="C28">
        <v>78.464942343669165</v>
      </c>
      <c r="D28" s="1">
        <v>245150.70803345076</v>
      </c>
      <c r="E28">
        <f t="shared" si="0"/>
        <v>5.3894331518941554</v>
      </c>
      <c r="F28">
        <f t="shared" si="1"/>
        <v>1.8946756599620374</v>
      </c>
      <c r="G28">
        <f t="shared" si="2"/>
        <v>2.2686676630145008E-2</v>
      </c>
      <c r="H28">
        <v>-4.684290577524286E-2</v>
      </c>
    </row>
    <row r="29" spans="1:8" x14ac:dyDescent="0.3">
      <c r="A29">
        <v>28</v>
      </c>
      <c r="B29">
        <v>10.542746017233178</v>
      </c>
      <c r="C29">
        <v>70.442174552193066</v>
      </c>
      <c r="D29" s="1">
        <v>258297.27742221285</v>
      </c>
      <c r="E29">
        <f t="shared" si="0"/>
        <v>5.4121198285243004</v>
      </c>
      <c r="F29">
        <f t="shared" si="1"/>
        <v>1.8478327541867945</v>
      </c>
      <c r="G29">
        <f t="shared" si="2"/>
        <v>5.9740690873050006E-2</v>
      </c>
      <c r="H29">
        <v>-3.6399751579745176E-2</v>
      </c>
    </row>
    <row r="30" spans="1:8" x14ac:dyDescent="0.3">
      <c r="A30">
        <v>29</v>
      </c>
      <c r="B30">
        <v>11.577653669948061</v>
      </c>
      <c r="C30">
        <v>64.778815509646876</v>
      </c>
      <c r="D30" s="1">
        <v>296387.93395067035</v>
      </c>
      <c r="E30">
        <f t="shared" si="0"/>
        <v>5.4718605193973504</v>
      </c>
      <c r="F30">
        <f t="shared" si="1"/>
        <v>1.8114330026070493</v>
      </c>
      <c r="G30">
        <f t="shared" si="2"/>
        <v>1.7490950381083614E-2</v>
      </c>
      <c r="H30">
        <v>-2.615701912290036E-2</v>
      </c>
    </row>
    <row r="31" spans="1:8" x14ac:dyDescent="0.3">
      <c r="A31">
        <v>30</v>
      </c>
      <c r="B31">
        <v>10.640290174149595</v>
      </c>
      <c r="C31">
        <v>60.992436607863418</v>
      </c>
      <c r="D31" s="1">
        <v>308568.41505033826</v>
      </c>
      <c r="E31">
        <f t="shared" si="0"/>
        <v>5.489351469778434</v>
      </c>
      <c r="F31">
        <f t="shared" si="1"/>
        <v>1.785275983484149</v>
      </c>
      <c r="G31">
        <f t="shared" si="2"/>
        <v>6.6580599761752346E-2</v>
      </c>
      <c r="H31">
        <v>3.8110354089442078E-2</v>
      </c>
    </row>
    <row r="32" spans="1:8" x14ac:dyDescent="0.3">
      <c r="A32">
        <v>31</v>
      </c>
      <c r="B32">
        <v>12.23445813350761</v>
      </c>
      <c r="C32">
        <v>66.586522996936068</v>
      </c>
      <c r="D32" s="1">
        <v>359693.06912512373</v>
      </c>
      <c r="E32">
        <f t="shared" si="0"/>
        <v>5.5559320695401864</v>
      </c>
      <c r="F32">
        <f t="shared" si="1"/>
        <v>1.823386337573591</v>
      </c>
      <c r="G32">
        <f t="shared" si="2"/>
        <v>-6.383501917023704E-2</v>
      </c>
      <c r="H32">
        <v>-1.8896825954793028E-2</v>
      </c>
    </row>
    <row r="33" spans="1:8" x14ac:dyDescent="0.3">
      <c r="A33">
        <v>32</v>
      </c>
      <c r="B33">
        <v>9.9209374806582939</v>
      </c>
      <c r="C33">
        <v>63.751368464474758</v>
      </c>
      <c r="D33" s="1">
        <v>310525.34314460459</v>
      </c>
      <c r="E33">
        <f t="shared" si="0"/>
        <v>5.4920970503699493</v>
      </c>
      <c r="F33">
        <f t="shared" si="1"/>
        <v>1.804489511618798</v>
      </c>
      <c r="G33">
        <f t="shared" si="2"/>
        <v>5.7649601534377481E-3</v>
      </c>
      <c r="H33">
        <v>-8.882340883856088E-3</v>
      </c>
    </row>
    <row r="34" spans="1:8" x14ac:dyDescent="0.3">
      <c r="A34">
        <v>33</v>
      </c>
      <c r="B34">
        <v>10.489161103316087</v>
      </c>
      <c r="C34">
        <v>62.460746548402327</v>
      </c>
      <c r="D34" s="1">
        <v>314674.83309948264</v>
      </c>
      <c r="E34">
        <f t="shared" si="0"/>
        <v>5.4978620105233871</v>
      </c>
      <c r="F34">
        <f t="shared" si="1"/>
        <v>1.7956071707349419</v>
      </c>
      <c r="G34">
        <f t="shared" si="2"/>
        <v>1.3449119756560712E-2</v>
      </c>
      <c r="H34">
        <v>1.2794197961397913E-2</v>
      </c>
    </row>
    <row r="35" spans="1:8" x14ac:dyDescent="0.3">
      <c r="A35">
        <v>34</v>
      </c>
      <c r="B35">
        <v>10.303874881956897</v>
      </c>
      <c r="C35">
        <v>64.328195458633147</v>
      </c>
      <c r="D35" s="1">
        <v>324572.05878164229</v>
      </c>
      <c r="E35">
        <f t="shared" si="0"/>
        <v>5.5113111302799478</v>
      </c>
      <c r="F35">
        <f t="shared" si="1"/>
        <v>1.8084013686963398</v>
      </c>
      <c r="G35">
        <f t="shared" si="2"/>
        <v>5.6538774230632249E-2</v>
      </c>
      <c r="H35">
        <v>-3.4811413842480654E-2</v>
      </c>
    </row>
    <row r="36" spans="1:8" x14ac:dyDescent="0.3">
      <c r="A36">
        <v>35</v>
      </c>
      <c r="B36">
        <v>11.69937931713946</v>
      </c>
      <c r="C36">
        <v>59.373131425458922</v>
      </c>
      <c r="D36" s="1">
        <v>369700.38642160693</v>
      </c>
      <c r="E36">
        <f t="shared" si="0"/>
        <v>5.56784990451058</v>
      </c>
      <c r="F36">
        <f t="shared" si="1"/>
        <v>1.7735899548538592</v>
      </c>
      <c r="G36">
        <f t="shared" si="2"/>
        <v>-2.0998751678549255E-2</v>
      </c>
      <c r="H36">
        <v>-3.0027932672032964E-2</v>
      </c>
    </row>
    <row r="37" spans="1:8" x14ac:dyDescent="0.3">
      <c r="A37">
        <v>36</v>
      </c>
      <c r="B37">
        <v>9.9225386623948513</v>
      </c>
      <c r="C37">
        <v>55.406666529793149</v>
      </c>
      <c r="D37" s="1">
        <v>352250.12251501722</v>
      </c>
      <c r="E37">
        <f t="shared" si="0"/>
        <v>5.5468511528320308</v>
      </c>
      <c r="F37">
        <f t="shared" si="1"/>
        <v>1.7435620221818262</v>
      </c>
      <c r="G37">
        <f t="shared" si="2"/>
        <v>2.762805465455731E-2</v>
      </c>
      <c r="H37">
        <v>2.5866287043319947E-2</v>
      </c>
    </row>
    <row r="38" spans="1:8" x14ac:dyDescent="0.3">
      <c r="A38">
        <v>37</v>
      </c>
      <c r="B38">
        <v>10.200733201500567</v>
      </c>
      <c r="C38">
        <v>58.806903115868217</v>
      </c>
      <c r="D38" s="1">
        <v>375386.98181522085</v>
      </c>
      <c r="E38">
        <f t="shared" si="0"/>
        <v>5.5744792074865881</v>
      </c>
      <c r="F38">
        <f t="shared" si="1"/>
        <v>1.7694283092251462</v>
      </c>
      <c r="G38">
        <f t="shared" si="2"/>
        <v>-5.5744792074865881</v>
      </c>
      <c r="H38">
        <v>-1.7694283092251462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69F9-7860-410F-A990-E2262565FCD1}">
  <dimension ref="A1:H38"/>
  <sheetViews>
    <sheetView workbookViewId="0">
      <selection activeCell="H1" sqref="H1"/>
    </sheetView>
  </sheetViews>
  <sheetFormatPr defaultRowHeight="14.4" x14ac:dyDescent="0.3"/>
  <cols>
    <col min="1" max="1" width="5.44140625" bestFit="1" customWidth="1"/>
    <col min="3" max="3" width="14.77734375" bestFit="1" customWidth="1"/>
    <col min="4" max="4" width="12" style="1" bestFit="1" customWidth="1"/>
    <col min="5" max="6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7.5718595396922064</v>
      </c>
      <c r="C2">
        <v>35.09819151813636</v>
      </c>
      <c r="D2" s="1">
        <v>713779.51197198103</v>
      </c>
      <c r="E2">
        <f>LOG10(D2)</f>
        <v>5.8535640779917175</v>
      </c>
      <c r="F2">
        <f>LOG10(C2)</f>
        <v>1.5452847394308267</v>
      </c>
      <c r="G2">
        <f>E3-E2</f>
        <v>-0.63935141601130052</v>
      </c>
      <c r="H2">
        <f>F3-F2</f>
        <v>0.12192006688271695</v>
      </c>
    </row>
    <row r="3" spans="1:8" x14ac:dyDescent="0.3">
      <c r="A3">
        <v>2</v>
      </c>
      <c r="B3">
        <v>7.397685409508127</v>
      </c>
      <c r="C3">
        <v>46.473438483804742</v>
      </c>
      <c r="D3" s="1">
        <v>163761.82214174047</v>
      </c>
      <c r="E3">
        <f t="shared" ref="E3:E38" si="0">LOG10(D3)</f>
        <v>5.214212661980417</v>
      </c>
      <c r="F3">
        <f t="shared" ref="F3:F38" si="1">LOG10(C3)</f>
        <v>1.6672048063135436</v>
      </c>
      <c r="G3">
        <f t="shared" ref="G3:G38" si="2">E4-E3</f>
        <v>4.4372342023543787E-2</v>
      </c>
      <c r="H3">
        <f t="shared" ref="H3:H38" si="3">F4-F3</f>
        <v>-1.5783054188938106E-3</v>
      </c>
    </row>
    <row r="4" spans="1:8" x14ac:dyDescent="0.3">
      <c r="A4">
        <v>3</v>
      </c>
      <c r="B4">
        <v>7.5489624159277886</v>
      </c>
      <c r="C4">
        <v>46.304852048057228</v>
      </c>
      <c r="D4" s="1">
        <v>181378.16507125538</v>
      </c>
      <c r="E4">
        <f t="shared" si="0"/>
        <v>5.2585850040039608</v>
      </c>
      <c r="F4">
        <f t="shared" si="1"/>
        <v>1.6656265008946498</v>
      </c>
      <c r="G4">
        <f t="shared" si="2"/>
        <v>3.56879256600795E-3</v>
      </c>
      <c r="H4">
        <f t="shared" si="3"/>
        <v>3.3712047762656239E-2</v>
      </c>
    </row>
    <row r="5" spans="1:8" x14ac:dyDescent="0.3">
      <c r="A5">
        <v>4</v>
      </c>
      <c r="B5">
        <v>7.7869749894484057</v>
      </c>
      <c r="C5">
        <v>50.042448241355551</v>
      </c>
      <c r="D5" s="1">
        <v>182874.77153469899</v>
      </c>
      <c r="E5">
        <f t="shared" si="0"/>
        <v>5.2621537965699687</v>
      </c>
      <c r="F5">
        <f t="shared" si="1"/>
        <v>1.699338548657306</v>
      </c>
      <c r="G5">
        <f t="shared" si="2"/>
        <v>-3.6498480075856321E-2</v>
      </c>
      <c r="H5">
        <f t="shared" si="3"/>
        <v>2.7254940310033282E-2</v>
      </c>
    </row>
    <row r="6" spans="1:8" x14ac:dyDescent="0.3">
      <c r="A6">
        <v>5</v>
      </c>
      <c r="B6">
        <v>7.2268103767142264</v>
      </c>
      <c r="C6">
        <v>53.283591359513949</v>
      </c>
      <c r="D6" s="1">
        <v>168133.91145736948</v>
      </c>
      <c r="E6">
        <f t="shared" si="0"/>
        <v>5.2256553164941124</v>
      </c>
      <c r="F6">
        <f t="shared" si="1"/>
        <v>1.7265934889673393</v>
      </c>
      <c r="G6">
        <f t="shared" si="2"/>
        <v>-7.0808496638044005E-3</v>
      </c>
      <c r="H6">
        <f t="shared" si="3"/>
        <v>-3.186025766583489E-2</v>
      </c>
    </row>
    <row r="7" spans="1:8" x14ac:dyDescent="0.3">
      <c r="A7">
        <v>6</v>
      </c>
      <c r="B7">
        <v>7.1373026135423139</v>
      </c>
      <c r="C7">
        <v>49.514595019620323</v>
      </c>
      <c r="D7" s="1">
        <v>165414.83910171801</v>
      </c>
      <c r="E7">
        <f t="shared" si="0"/>
        <v>5.218574466830308</v>
      </c>
      <c r="F7">
        <f t="shared" si="1"/>
        <v>1.6947332313015044</v>
      </c>
      <c r="G7">
        <f t="shared" si="2"/>
        <v>2.8343547006219438E-2</v>
      </c>
      <c r="H7">
        <f t="shared" si="3"/>
        <v>8.3994511265832461E-3</v>
      </c>
    </row>
    <row r="8" spans="1:8" x14ac:dyDescent="0.3">
      <c r="A8">
        <v>7</v>
      </c>
      <c r="B8">
        <v>7.1838805930551475</v>
      </c>
      <c r="C8">
        <v>50.481550149350717</v>
      </c>
      <c r="D8" s="1">
        <v>176570.44593252457</v>
      </c>
      <c r="E8">
        <f t="shared" si="0"/>
        <v>5.2469180138365275</v>
      </c>
      <c r="F8">
        <f t="shared" si="1"/>
        <v>1.7031326824280877</v>
      </c>
      <c r="G8">
        <f t="shared" si="2"/>
        <v>2.5266506232096475E-2</v>
      </c>
      <c r="H8">
        <f t="shared" si="3"/>
        <v>6.7230932088937934E-2</v>
      </c>
    </row>
    <row r="9" spans="1:8" x14ac:dyDescent="0.3">
      <c r="A9">
        <v>8</v>
      </c>
      <c r="B9">
        <v>7.6345999154167528</v>
      </c>
      <c r="C9">
        <v>58.933687313368807</v>
      </c>
      <c r="D9" s="1">
        <v>187147.71118660239</v>
      </c>
      <c r="E9">
        <f t="shared" si="0"/>
        <v>5.2721845200686239</v>
      </c>
      <c r="F9">
        <f t="shared" si="1"/>
        <v>1.7703636145170256</v>
      </c>
      <c r="G9">
        <f t="shared" si="2"/>
        <v>-1.9619121306393872E-2</v>
      </c>
      <c r="H9">
        <f t="shared" si="3"/>
        <v>3.4732982241375776E-2</v>
      </c>
    </row>
    <row r="10" spans="1:8" x14ac:dyDescent="0.3">
      <c r="A10">
        <v>9</v>
      </c>
      <c r="B10">
        <v>7.5838694866647804</v>
      </c>
      <c r="C10">
        <v>63.840546598417049</v>
      </c>
      <c r="D10" s="1">
        <v>178881.48796891083</v>
      </c>
      <c r="E10">
        <f t="shared" si="0"/>
        <v>5.2525653987622301</v>
      </c>
      <c r="F10">
        <f t="shared" si="1"/>
        <v>1.8050965967584014</v>
      </c>
      <c r="G10">
        <f t="shared" si="2"/>
        <v>1.3868598301091772E-2</v>
      </c>
      <c r="H10">
        <f t="shared" si="3"/>
        <v>4.4961411260354023E-2</v>
      </c>
    </row>
    <row r="11" spans="1:8" x14ac:dyDescent="0.3">
      <c r="A11">
        <v>10</v>
      </c>
      <c r="B11">
        <v>7.5601133596355643</v>
      </c>
      <c r="C11">
        <v>70.804034988466199</v>
      </c>
      <c r="D11" s="1">
        <v>184686.00926253721</v>
      </c>
      <c r="E11">
        <f t="shared" si="0"/>
        <v>5.2664339970633218</v>
      </c>
      <c r="F11">
        <f t="shared" si="1"/>
        <v>1.8500580080187554</v>
      </c>
      <c r="G11">
        <f t="shared" si="2"/>
        <v>1.8842077048494943E-2</v>
      </c>
      <c r="H11">
        <f t="shared" si="3"/>
        <v>5.1119086277107151E-3</v>
      </c>
    </row>
    <row r="12" spans="1:8" x14ac:dyDescent="0.3">
      <c r="A12">
        <v>11</v>
      </c>
      <c r="B12">
        <v>7.3690688316870423</v>
      </c>
      <c r="C12">
        <v>71.642365437727776</v>
      </c>
      <c r="D12" s="1">
        <v>192875.05997304397</v>
      </c>
      <c r="E12">
        <f t="shared" si="0"/>
        <v>5.2852760741118168</v>
      </c>
      <c r="F12">
        <f t="shared" si="1"/>
        <v>1.8551699166464661</v>
      </c>
      <c r="G12">
        <f t="shared" si="2"/>
        <v>1.3078463433219945E-2</v>
      </c>
      <c r="H12">
        <f t="shared" si="3"/>
        <v>-4.8493749650036611E-2</v>
      </c>
    </row>
    <row r="13" spans="1:8" x14ac:dyDescent="0.3">
      <c r="A13">
        <v>12</v>
      </c>
      <c r="B13">
        <v>7.5571119722546332</v>
      </c>
      <c r="C13">
        <v>64.073163492231856</v>
      </c>
      <c r="D13" s="1">
        <v>198771.6933614247</v>
      </c>
      <c r="E13">
        <f t="shared" si="0"/>
        <v>5.2983545375450367</v>
      </c>
      <c r="F13">
        <f t="shared" si="1"/>
        <v>1.8066761669964295</v>
      </c>
      <c r="G13">
        <f t="shared" si="2"/>
        <v>-2.2147176567307802E-2</v>
      </c>
      <c r="H13">
        <f t="shared" si="3"/>
        <v>-3.1179607906453244E-2</v>
      </c>
    </row>
    <row r="14" spans="1:8" x14ac:dyDescent="0.3">
      <c r="A14">
        <v>13</v>
      </c>
      <c r="B14">
        <v>7.3593138836459975</v>
      </c>
      <c r="C14">
        <v>59.634359499218604</v>
      </c>
      <c r="D14" s="1">
        <v>188889.30165737672</v>
      </c>
      <c r="E14">
        <f t="shared" si="0"/>
        <v>5.2762073609777289</v>
      </c>
      <c r="F14">
        <f t="shared" si="1"/>
        <v>1.7754965590899763</v>
      </c>
      <c r="G14">
        <f t="shared" si="2"/>
        <v>1.6896030761675895E-2</v>
      </c>
      <c r="H14">
        <f t="shared" si="3"/>
        <v>2.7083178045576473E-2</v>
      </c>
    </row>
    <row r="15" spans="1:8" x14ac:dyDescent="0.3">
      <c r="A15">
        <v>14</v>
      </c>
      <c r="B15">
        <v>7.3749647791208988</v>
      </c>
      <c r="C15">
        <v>63.471642519687435</v>
      </c>
      <c r="D15" s="1">
        <v>196382.77462786503</v>
      </c>
      <c r="E15">
        <f t="shared" si="0"/>
        <v>5.2931033917394048</v>
      </c>
      <c r="F15">
        <f t="shared" si="1"/>
        <v>1.8025797371355528</v>
      </c>
      <c r="G15">
        <f t="shared" si="2"/>
        <v>1.5612140459439594E-2</v>
      </c>
      <c r="H15">
        <f t="shared" si="3"/>
        <v>-4.2960851721309146E-2</v>
      </c>
    </row>
    <row r="16" spans="1:8" x14ac:dyDescent="0.3">
      <c r="A16">
        <v>15</v>
      </c>
      <c r="B16">
        <v>7.1895299965018618</v>
      </c>
      <c r="C16">
        <v>57.493518223745575</v>
      </c>
      <c r="D16" s="1">
        <v>203570.82289795057</v>
      </c>
      <c r="E16">
        <f t="shared" si="0"/>
        <v>5.3087155321988444</v>
      </c>
      <c r="F16">
        <f t="shared" si="1"/>
        <v>1.7596188854142436</v>
      </c>
      <c r="G16">
        <f t="shared" si="2"/>
        <v>2.0526649859511359E-2</v>
      </c>
      <c r="H16">
        <f t="shared" si="3"/>
        <v>-3.331227337644016E-5</v>
      </c>
    </row>
    <row r="17" spans="1:8" x14ac:dyDescent="0.3">
      <c r="A17">
        <v>16</v>
      </c>
      <c r="B17">
        <v>7.3972324993956855</v>
      </c>
      <c r="C17">
        <v>57.489108390269614</v>
      </c>
      <c r="D17" s="1">
        <v>213423.47262606444</v>
      </c>
      <c r="E17">
        <f t="shared" si="0"/>
        <v>5.3292421820583558</v>
      </c>
      <c r="F17">
        <f t="shared" si="1"/>
        <v>1.7595855731408672</v>
      </c>
      <c r="G17">
        <f t="shared" si="2"/>
        <v>-0.18277592870234916</v>
      </c>
      <c r="H17">
        <f t="shared" si="3"/>
        <v>-8.8736332715691812E-2</v>
      </c>
    </row>
    <row r="18" spans="1:8" x14ac:dyDescent="0.3">
      <c r="A18">
        <v>17</v>
      </c>
      <c r="B18">
        <v>6.8884870382396226</v>
      </c>
      <c r="C18">
        <v>46.865066803526787</v>
      </c>
      <c r="D18" s="1">
        <v>140109.07096297861</v>
      </c>
      <c r="E18">
        <f t="shared" si="0"/>
        <v>5.1464662533560066</v>
      </c>
      <c r="F18">
        <f t="shared" si="1"/>
        <v>1.6708492404251754</v>
      </c>
      <c r="G18">
        <f t="shared" si="2"/>
        <v>-1.7608519754285985</v>
      </c>
      <c r="H18">
        <f t="shared" si="3"/>
        <v>-0.1813829343411808</v>
      </c>
    </row>
    <row r="19" spans="1:8" x14ac:dyDescent="0.3">
      <c r="A19">
        <v>18</v>
      </c>
      <c r="B19">
        <v>14.516396576400492</v>
      </c>
      <c r="C19">
        <v>30.865001761158585</v>
      </c>
      <c r="D19" s="1">
        <v>2430.0447868894425</v>
      </c>
      <c r="E19">
        <f t="shared" si="0"/>
        <v>3.3856142779274081</v>
      </c>
      <c r="F19">
        <f t="shared" si="1"/>
        <v>1.4894663060839946</v>
      </c>
      <c r="G19">
        <f t="shared" si="2"/>
        <v>0.44223559700034665</v>
      </c>
      <c r="H19">
        <f t="shared" si="3"/>
        <v>0.1094500038541395</v>
      </c>
    </row>
    <row r="20" spans="1:8" x14ac:dyDescent="0.3">
      <c r="A20">
        <v>19</v>
      </c>
      <c r="B20">
        <v>11.601035778143649</v>
      </c>
      <c r="C20">
        <v>39.711501664641006</v>
      </c>
      <c r="D20" s="1">
        <v>6727.4406477455013</v>
      </c>
      <c r="E20">
        <f t="shared" si="0"/>
        <v>3.8278498749277547</v>
      </c>
      <c r="F20">
        <f t="shared" si="1"/>
        <v>1.5989163099381341</v>
      </c>
      <c r="G20">
        <f t="shared" si="2"/>
        <v>0.23846574911081575</v>
      </c>
      <c r="H20">
        <f t="shared" si="3"/>
        <v>1.5567630411964739E-2</v>
      </c>
    </row>
    <row r="21" spans="1:8" x14ac:dyDescent="0.3">
      <c r="A21">
        <v>20</v>
      </c>
      <c r="B21">
        <v>13.742743504868304</v>
      </c>
      <c r="C21">
        <v>41.160812628361477</v>
      </c>
      <c r="D21" s="1">
        <v>11649.723669076862</v>
      </c>
      <c r="E21">
        <f t="shared" si="0"/>
        <v>4.0663156240385705</v>
      </c>
      <c r="F21">
        <f t="shared" si="1"/>
        <v>1.6144839403500988</v>
      </c>
      <c r="G21">
        <f t="shared" si="2"/>
        <v>0.23413124113169648</v>
      </c>
      <c r="H21">
        <f t="shared" si="3"/>
        <v>0.12541964299442254</v>
      </c>
    </row>
    <row r="22" spans="1:8" x14ac:dyDescent="0.3">
      <c r="A22">
        <v>21</v>
      </c>
      <c r="B22">
        <v>20.244439356302674</v>
      </c>
      <c r="C22">
        <v>54.941888517431003</v>
      </c>
      <c r="D22" s="1">
        <v>19973.163868928215</v>
      </c>
      <c r="E22">
        <f t="shared" si="0"/>
        <v>4.300446865170267</v>
      </c>
      <c r="F22">
        <f t="shared" si="1"/>
        <v>1.7399035833445213</v>
      </c>
      <c r="G22">
        <f t="shared" si="2"/>
        <v>5.0459264878913501E-2</v>
      </c>
      <c r="H22">
        <f t="shared" si="3"/>
        <v>4.5503680096285581E-2</v>
      </c>
    </row>
    <row r="23" spans="1:8" x14ac:dyDescent="0.3">
      <c r="A23">
        <v>22</v>
      </c>
      <c r="B23">
        <v>13.013498321192312</v>
      </c>
      <c r="C23">
        <v>61.010876387998415</v>
      </c>
      <c r="D23" s="1">
        <v>22433.969755903428</v>
      </c>
      <c r="E23">
        <f t="shared" si="0"/>
        <v>4.3509061300491805</v>
      </c>
      <c r="F23">
        <f t="shared" si="1"/>
        <v>1.7854072634408069</v>
      </c>
      <c r="G23">
        <f t="shared" si="2"/>
        <v>6.3939916490559412E-2</v>
      </c>
      <c r="H23">
        <f t="shared" si="3"/>
        <v>1.8153154245813541E-2</v>
      </c>
    </row>
    <row r="24" spans="1:8" x14ac:dyDescent="0.3">
      <c r="A24">
        <v>23</v>
      </c>
      <c r="B24">
        <v>10.462657462884865</v>
      </c>
      <c r="C24">
        <v>63.615129805564273</v>
      </c>
      <c r="D24" s="1">
        <v>25992.379935044872</v>
      </c>
      <c r="E24">
        <f t="shared" si="0"/>
        <v>4.4148460465397399</v>
      </c>
      <c r="F24">
        <f t="shared" si="1"/>
        <v>1.8035604176866205</v>
      </c>
      <c r="G24">
        <f t="shared" si="2"/>
        <v>0.30044540105780904</v>
      </c>
      <c r="H24">
        <f t="shared" si="3"/>
        <v>2.8089499986495126E-2</v>
      </c>
    </row>
    <row r="25" spans="1:8" x14ac:dyDescent="0.3">
      <c r="A25">
        <v>24</v>
      </c>
      <c r="B25">
        <v>9.0906407790109043</v>
      </c>
      <c r="C25">
        <v>67.865635101826712</v>
      </c>
      <c r="D25" s="1">
        <v>51914.831360775475</v>
      </c>
      <c r="E25">
        <f t="shared" si="0"/>
        <v>4.7152914475975489</v>
      </c>
      <c r="F25">
        <f t="shared" si="1"/>
        <v>1.8316499176731156</v>
      </c>
      <c r="G25">
        <f t="shared" si="2"/>
        <v>-4.5943753174373825E-2</v>
      </c>
      <c r="H25">
        <f t="shared" si="3"/>
        <v>7.7244704916414886E-2</v>
      </c>
    </row>
    <row r="26" spans="1:8" x14ac:dyDescent="0.3">
      <c r="A26">
        <v>25</v>
      </c>
      <c r="B26">
        <v>5.0442625372788648</v>
      </c>
      <c r="C26">
        <v>81.076430976468146</v>
      </c>
      <c r="D26" s="1">
        <v>46703.313553903827</v>
      </c>
      <c r="E26">
        <f t="shared" si="0"/>
        <v>4.6693476944231751</v>
      </c>
      <c r="F26">
        <f t="shared" si="1"/>
        <v>1.9088946225895305</v>
      </c>
      <c r="G26">
        <f t="shared" si="2"/>
        <v>0.54164870146239874</v>
      </c>
      <c r="H26">
        <f t="shared" si="3"/>
        <v>5.0162922462953841E-2</v>
      </c>
    </row>
    <row r="27" spans="1:8" x14ac:dyDescent="0.3">
      <c r="A27">
        <v>26</v>
      </c>
      <c r="B27">
        <v>8.3652063633611906</v>
      </c>
      <c r="C27">
        <v>91.003384629446487</v>
      </c>
      <c r="D27" s="1">
        <v>162553.52657347097</v>
      </c>
      <c r="E27">
        <f t="shared" si="0"/>
        <v>5.2109963958855738</v>
      </c>
      <c r="F27">
        <f t="shared" si="1"/>
        <v>1.9590575450524843</v>
      </c>
      <c r="G27">
        <f t="shared" si="2"/>
        <v>6.6095710601532076E-2</v>
      </c>
      <c r="H27">
        <f t="shared" si="3"/>
        <v>-6.4381885090446955E-2</v>
      </c>
    </row>
    <row r="28" spans="1:8" x14ac:dyDescent="0.3">
      <c r="A28">
        <v>27</v>
      </c>
      <c r="B28">
        <v>8.3796496948009516</v>
      </c>
      <c r="C28">
        <v>78.464942343669165</v>
      </c>
      <c r="D28" s="1">
        <v>189274.49951634702</v>
      </c>
      <c r="E28">
        <f t="shared" si="0"/>
        <v>5.2770921064871059</v>
      </c>
      <c r="F28">
        <f t="shared" si="1"/>
        <v>1.8946756599620374</v>
      </c>
      <c r="G28">
        <f t="shared" si="2"/>
        <v>3.5166910682520758E-2</v>
      </c>
      <c r="H28">
        <f t="shared" si="3"/>
        <v>-4.684290577524286E-2</v>
      </c>
    </row>
    <row r="29" spans="1:8" x14ac:dyDescent="0.3">
      <c r="A29">
        <v>28</v>
      </c>
      <c r="B29">
        <v>8.3757177417404218</v>
      </c>
      <c r="C29">
        <v>70.442174552193066</v>
      </c>
      <c r="D29" s="1">
        <v>205238.58754360728</v>
      </c>
      <c r="E29">
        <f t="shared" si="0"/>
        <v>5.3122590171696267</v>
      </c>
      <c r="F29">
        <f t="shared" si="1"/>
        <v>1.8478327541867945</v>
      </c>
      <c r="G29">
        <f t="shared" si="2"/>
        <v>-1.8763139008587615E-2</v>
      </c>
      <c r="H29">
        <f t="shared" si="3"/>
        <v>-3.6399751579745176E-2</v>
      </c>
    </row>
    <row r="30" spans="1:8" x14ac:dyDescent="0.3">
      <c r="A30">
        <v>29</v>
      </c>
      <c r="B30">
        <v>8.0223140646437976</v>
      </c>
      <c r="C30">
        <v>64.778815509646876</v>
      </c>
      <c r="D30" s="1">
        <v>196560.33251768292</v>
      </c>
      <c r="E30">
        <f t="shared" si="0"/>
        <v>5.2934958781610391</v>
      </c>
      <c r="F30">
        <f t="shared" si="1"/>
        <v>1.8114330026070493</v>
      </c>
      <c r="G30">
        <f t="shared" si="2"/>
        <v>2.0347277205905456E-2</v>
      </c>
      <c r="H30">
        <f t="shared" si="3"/>
        <v>-2.615701912290036E-2</v>
      </c>
    </row>
    <row r="31" spans="1:8" x14ac:dyDescent="0.3">
      <c r="A31">
        <v>30</v>
      </c>
      <c r="B31">
        <v>7.9431985679427637</v>
      </c>
      <c r="C31">
        <v>60.992436607863418</v>
      </c>
      <c r="D31" s="1">
        <v>205988.58550288933</v>
      </c>
      <c r="E31">
        <f t="shared" si="0"/>
        <v>5.3138431553669445</v>
      </c>
      <c r="F31">
        <f t="shared" si="1"/>
        <v>1.785275983484149</v>
      </c>
      <c r="G31">
        <f t="shared" si="2"/>
        <v>1.6980088104979529E-2</v>
      </c>
      <c r="H31">
        <f t="shared" si="3"/>
        <v>3.8110354089442078E-2</v>
      </c>
    </row>
    <row r="32" spans="1:8" x14ac:dyDescent="0.3">
      <c r="A32">
        <v>31</v>
      </c>
      <c r="B32">
        <v>7.8930891065466771</v>
      </c>
      <c r="C32">
        <v>66.586522996936068</v>
      </c>
      <c r="D32" s="1">
        <v>214201.86286455308</v>
      </c>
      <c r="E32">
        <f t="shared" si="0"/>
        <v>5.330823243471924</v>
      </c>
      <c r="F32">
        <f t="shared" si="1"/>
        <v>1.823386337573591</v>
      </c>
      <c r="G32">
        <f t="shared" si="2"/>
        <v>2.4801295597526085E-2</v>
      </c>
      <c r="H32">
        <f t="shared" si="3"/>
        <v>-1.8896825954793028E-2</v>
      </c>
    </row>
    <row r="33" spans="1:8" x14ac:dyDescent="0.3">
      <c r="A33">
        <v>32</v>
      </c>
      <c r="B33">
        <v>7.9600133794266519</v>
      </c>
      <c r="C33">
        <v>63.751368464474758</v>
      </c>
      <c r="D33" s="1">
        <v>226790.33319592063</v>
      </c>
      <c r="E33">
        <f t="shared" si="0"/>
        <v>5.3556245390694501</v>
      </c>
      <c r="F33">
        <f t="shared" si="1"/>
        <v>1.804489511618798</v>
      </c>
      <c r="G33">
        <f t="shared" si="2"/>
        <v>-3.6036738216129294E-2</v>
      </c>
      <c r="H33">
        <f t="shared" si="3"/>
        <v>-8.882340883856088E-3</v>
      </c>
    </row>
    <row r="34" spans="1:8" x14ac:dyDescent="0.3">
      <c r="A34">
        <v>33</v>
      </c>
      <c r="B34">
        <v>7.3545918633368137</v>
      </c>
      <c r="C34">
        <v>62.460746548402327</v>
      </c>
      <c r="D34" s="1">
        <v>208731.40713254845</v>
      </c>
      <c r="E34">
        <f t="shared" si="0"/>
        <v>5.3195878008533208</v>
      </c>
      <c r="F34">
        <f t="shared" si="1"/>
        <v>1.7956071707349419</v>
      </c>
      <c r="G34">
        <f t="shared" si="2"/>
        <v>2.8528570441945789E-3</v>
      </c>
      <c r="H34">
        <f t="shared" si="3"/>
        <v>1.2794197961397913E-2</v>
      </c>
    </row>
    <row r="35" spans="1:8" x14ac:dyDescent="0.3">
      <c r="A35">
        <v>34</v>
      </c>
      <c r="B35">
        <v>7.2388558052966001</v>
      </c>
      <c r="C35">
        <v>64.328195458633147</v>
      </c>
      <c r="D35" s="1">
        <v>210107.06586315329</v>
      </c>
      <c r="E35">
        <f t="shared" si="0"/>
        <v>5.3224406578975154</v>
      </c>
      <c r="F35">
        <f t="shared" si="1"/>
        <v>1.8084013686963398</v>
      </c>
      <c r="G35">
        <f t="shared" si="2"/>
        <v>-5.6950832839843812E-3</v>
      </c>
      <c r="H35">
        <f t="shared" si="3"/>
        <v>-3.4811413842480654E-2</v>
      </c>
    </row>
    <row r="36" spans="1:8" x14ac:dyDescent="0.3">
      <c r="A36">
        <v>35</v>
      </c>
      <c r="B36">
        <v>6.9563381466653906</v>
      </c>
      <c r="C36">
        <v>59.373131425458922</v>
      </c>
      <c r="D36" s="1">
        <v>207369.83141972462</v>
      </c>
      <c r="E36">
        <f t="shared" si="0"/>
        <v>5.316745574613531</v>
      </c>
      <c r="F36">
        <f t="shared" si="1"/>
        <v>1.7735899548538592</v>
      </c>
      <c r="G36">
        <f t="shared" si="2"/>
        <v>5.4528133361715803E-2</v>
      </c>
      <c r="H36">
        <f t="shared" si="3"/>
        <v>-3.0027932672032964E-2</v>
      </c>
    </row>
    <row r="37" spans="1:8" x14ac:dyDescent="0.3">
      <c r="A37">
        <v>36</v>
      </c>
      <c r="B37">
        <v>7.4515533422423825</v>
      </c>
      <c r="C37">
        <v>55.406666529793149</v>
      </c>
      <c r="D37" s="1">
        <v>235111.41105443166</v>
      </c>
      <c r="E37">
        <f t="shared" si="0"/>
        <v>5.3712737079752468</v>
      </c>
      <c r="F37">
        <f t="shared" si="1"/>
        <v>1.7435620221818262</v>
      </c>
      <c r="G37">
        <f t="shared" si="2"/>
        <v>-4.8349594584877309E-2</v>
      </c>
      <c r="H37">
        <f t="shared" si="3"/>
        <v>2.5866287043319947E-2</v>
      </c>
    </row>
    <row r="38" spans="1:8" x14ac:dyDescent="0.3">
      <c r="A38">
        <v>37</v>
      </c>
      <c r="B38">
        <v>58.806903115868217</v>
      </c>
      <c r="C38">
        <v>58.806903115868217</v>
      </c>
      <c r="D38" s="1">
        <v>210341.08673644706</v>
      </c>
      <c r="E38">
        <f t="shared" si="0"/>
        <v>5.3229241133903695</v>
      </c>
      <c r="F38">
        <f t="shared" si="1"/>
        <v>1.7694283092251462</v>
      </c>
      <c r="G38">
        <f t="shared" si="2"/>
        <v>-5.3229241133903695</v>
      </c>
      <c r="H38">
        <f t="shared" si="3"/>
        <v>-1.7694283092251462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360B-7584-48EB-AFFE-81282099CEF7}">
  <dimension ref="A1:H38"/>
  <sheetViews>
    <sheetView workbookViewId="0">
      <selection activeCell="H1" sqref="H1"/>
    </sheetView>
  </sheetViews>
  <sheetFormatPr defaultRowHeight="14.4" x14ac:dyDescent="0.3"/>
  <cols>
    <col min="1" max="1" width="5.44140625" bestFit="1" customWidth="1"/>
    <col min="3" max="3" width="14.77734375" bestFit="1" customWidth="1"/>
    <col min="4" max="4" width="10.44140625" style="1" bestFit="1" customWidth="1"/>
    <col min="5" max="5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10.752414015785329</v>
      </c>
      <c r="C2">
        <v>35.09819151813636</v>
      </c>
      <c r="D2" s="1">
        <v>173027.8463420175</v>
      </c>
      <c r="E2">
        <f>LOG10(D2)</f>
        <v>5.2381160022009849</v>
      </c>
      <c r="F2">
        <f>LOG10(C2)</f>
        <v>1.5452847394308267</v>
      </c>
      <c r="G2">
        <f>E3-E2</f>
        <v>3.5823364711020211E-2</v>
      </c>
      <c r="H2">
        <v>0.12192006688271695</v>
      </c>
    </row>
    <row r="3" spans="1:8" x14ac:dyDescent="0.3">
      <c r="A3">
        <v>2</v>
      </c>
      <c r="B3">
        <v>10.202272007554447</v>
      </c>
      <c r="C3">
        <v>46.473438483804742</v>
      </c>
      <c r="D3" s="1">
        <v>187905.4458351378</v>
      </c>
      <c r="E3">
        <f t="shared" ref="E3:E38" si="0">LOG10(D3)</f>
        <v>5.2739393669120052</v>
      </c>
      <c r="F3">
        <f t="shared" ref="F3:F38" si="1">LOG10(C3)</f>
        <v>1.6672048063135436</v>
      </c>
      <c r="G3">
        <f t="shared" ref="G3:G38" si="2">E4-E3</f>
        <v>0.1180310193772387</v>
      </c>
      <c r="H3">
        <v>-1.5783054188938106E-3</v>
      </c>
    </row>
    <row r="4" spans="1:8" x14ac:dyDescent="0.3">
      <c r="A4">
        <v>3</v>
      </c>
      <c r="B4">
        <v>10.135938788464438</v>
      </c>
      <c r="C4">
        <v>46.304852048057228</v>
      </c>
      <c r="D4" s="1">
        <v>246587.11884576286</v>
      </c>
      <c r="E4">
        <f t="shared" si="0"/>
        <v>5.3919703862892439</v>
      </c>
      <c r="F4">
        <f t="shared" si="1"/>
        <v>1.6656265008946498</v>
      </c>
      <c r="G4">
        <f t="shared" si="2"/>
        <v>-0.13141808177087011</v>
      </c>
      <c r="H4">
        <v>3.3712047762656239E-2</v>
      </c>
    </row>
    <row r="5" spans="1:8" x14ac:dyDescent="0.3">
      <c r="A5">
        <v>4</v>
      </c>
      <c r="B5">
        <v>10.327135382509534</v>
      </c>
      <c r="C5">
        <v>50.042448241355551</v>
      </c>
      <c r="D5" s="1">
        <v>182201.64955361569</v>
      </c>
      <c r="E5">
        <f t="shared" si="0"/>
        <v>5.2605523045183737</v>
      </c>
      <c r="F5">
        <f t="shared" si="1"/>
        <v>1.699338548657306</v>
      </c>
      <c r="G5">
        <f t="shared" si="2"/>
        <v>3.0863749823044628E-3</v>
      </c>
      <c r="H5">
        <v>2.7254940310033282E-2</v>
      </c>
    </row>
    <row r="6" spans="1:8" x14ac:dyDescent="0.3">
      <c r="A6">
        <v>5</v>
      </c>
      <c r="B6">
        <v>10.004967187039462</v>
      </c>
      <c r="C6">
        <v>53.283591359513949</v>
      </c>
      <c r="D6" s="1">
        <v>183501.10317749076</v>
      </c>
      <c r="E6">
        <f t="shared" si="0"/>
        <v>5.2636386795006782</v>
      </c>
      <c r="F6">
        <f t="shared" si="1"/>
        <v>1.7265934889673393</v>
      </c>
      <c r="G6">
        <f t="shared" si="2"/>
        <v>5.4856117958384409E-2</v>
      </c>
      <c r="H6">
        <v>-3.186025766583489E-2</v>
      </c>
    </row>
    <row r="7" spans="1:8" x14ac:dyDescent="0.3">
      <c r="A7">
        <v>6</v>
      </c>
      <c r="B7">
        <v>9.9487168548074436</v>
      </c>
      <c r="C7">
        <v>49.514595019620323</v>
      </c>
      <c r="D7" s="1">
        <v>208206.74633741018</v>
      </c>
      <c r="E7">
        <f t="shared" si="0"/>
        <v>5.3184947974590626</v>
      </c>
      <c r="F7">
        <f t="shared" si="1"/>
        <v>1.6947332313015044</v>
      </c>
      <c r="G7">
        <f t="shared" si="2"/>
        <v>0.10423922153779941</v>
      </c>
      <c r="H7">
        <v>8.3994511265832461E-3</v>
      </c>
    </row>
    <row r="8" spans="1:8" x14ac:dyDescent="0.3">
      <c r="A8">
        <v>7</v>
      </c>
      <c r="B8">
        <v>9.9987858019035354</v>
      </c>
      <c r="C8">
        <v>50.481550149350717</v>
      </c>
      <c r="D8" s="1">
        <v>264687.85774799041</v>
      </c>
      <c r="E8">
        <f t="shared" si="0"/>
        <v>5.422734018996862</v>
      </c>
      <c r="F8">
        <f t="shared" si="1"/>
        <v>1.7031326824280877</v>
      </c>
      <c r="G8">
        <f t="shared" si="2"/>
        <v>-0.12362563759240874</v>
      </c>
      <c r="H8">
        <v>6.7230932088937934E-2</v>
      </c>
    </row>
    <row r="9" spans="1:8" x14ac:dyDescent="0.3">
      <c r="A9">
        <v>8</v>
      </c>
      <c r="B9">
        <v>10.265880533388275</v>
      </c>
      <c r="C9">
        <v>58.933687313368807</v>
      </c>
      <c r="D9" s="1">
        <v>199117.01882559899</v>
      </c>
      <c r="E9">
        <f t="shared" si="0"/>
        <v>5.2991083814044533</v>
      </c>
      <c r="F9">
        <f t="shared" si="1"/>
        <v>1.7703636145170256</v>
      </c>
      <c r="G9">
        <f t="shared" si="2"/>
        <v>1.8261380176054942E-2</v>
      </c>
      <c r="H9">
        <v>3.4732982241375776E-2</v>
      </c>
    </row>
    <row r="10" spans="1:8" x14ac:dyDescent="0.3">
      <c r="A10">
        <v>9</v>
      </c>
      <c r="B10">
        <v>10.159886823153945</v>
      </c>
      <c r="C10">
        <v>63.840546598417049</v>
      </c>
      <c r="D10" s="1">
        <v>207668.08666526663</v>
      </c>
      <c r="E10">
        <f t="shared" si="0"/>
        <v>5.3173697615805082</v>
      </c>
      <c r="F10">
        <f t="shared" si="1"/>
        <v>1.8050965967584014</v>
      </c>
      <c r="G10">
        <f t="shared" si="2"/>
        <v>4.6228586430831164E-2</v>
      </c>
      <c r="H10">
        <v>4.4961411260354023E-2</v>
      </c>
    </row>
    <row r="11" spans="1:8" x14ac:dyDescent="0.3">
      <c r="A11">
        <v>10</v>
      </c>
      <c r="B11">
        <v>10.196554663863191</v>
      </c>
      <c r="C11">
        <v>70.804034988466199</v>
      </c>
      <c r="D11" s="1">
        <v>230992.74935515673</v>
      </c>
      <c r="E11">
        <f t="shared" si="0"/>
        <v>5.3635983480113394</v>
      </c>
      <c r="F11">
        <f t="shared" si="1"/>
        <v>1.8500580080187554</v>
      </c>
      <c r="G11">
        <f t="shared" si="2"/>
        <v>0.10457635950602207</v>
      </c>
      <c r="H11">
        <v>5.1119086277107151E-3</v>
      </c>
    </row>
    <row r="12" spans="1:8" x14ac:dyDescent="0.3">
      <c r="A12">
        <v>11</v>
      </c>
      <c r="B12">
        <v>10.324369029458005</v>
      </c>
      <c r="C12">
        <v>71.642365437727776</v>
      </c>
      <c r="D12" s="1">
        <v>293883.16442352213</v>
      </c>
      <c r="E12">
        <f t="shared" si="0"/>
        <v>5.4681747075173615</v>
      </c>
      <c r="F12">
        <f t="shared" si="1"/>
        <v>1.8551699166464661</v>
      </c>
      <c r="G12">
        <f t="shared" si="2"/>
        <v>-0.12037072024270401</v>
      </c>
      <c r="H12">
        <v>-4.8493749650036611E-2</v>
      </c>
    </row>
    <row r="13" spans="1:8" x14ac:dyDescent="0.3">
      <c r="A13">
        <v>12</v>
      </c>
      <c r="B13">
        <v>10.708281348234568</v>
      </c>
      <c r="C13">
        <v>64.073163492231856</v>
      </c>
      <c r="D13" s="1">
        <v>222742.96032462723</v>
      </c>
      <c r="E13">
        <f t="shared" si="0"/>
        <v>5.3478039872746574</v>
      </c>
      <c r="F13">
        <f t="shared" si="1"/>
        <v>1.8066761669964295</v>
      </c>
      <c r="G13">
        <f t="shared" si="2"/>
        <v>2.3517626868496677E-4</v>
      </c>
      <c r="H13">
        <v>-3.1179607906453244E-2</v>
      </c>
    </row>
    <row r="14" spans="1:8" x14ac:dyDescent="0.3">
      <c r="A14">
        <v>13</v>
      </c>
      <c r="B14">
        <v>10.4665200432035</v>
      </c>
      <c r="C14">
        <v>59.634359499218604</v>
      </c>
      <c r="D14" s="1">
        <v>222863.61127993214</v>
      </c>
      <c r="E14">
        <f t="shared" si="0"/>
        <v>5.3480391635433424</v>
      </c>
      <c r="F14">
        <f t="shared" si="1"/>
        <v>1.7754965590899763</v>
      </c>
      <c r="G14">
        <f t="shared" si="2"/>
        <v>5.0691712893669916E-2</v>
      </c>
      <c r="H14">
        <v>2.7083178045576473E-2</v>
      </c>
    </row>
    <row r="15" spans="1:8" x14ac:dyDescent="0.3">
      <c r="A15">
        <v>14</v>
      </c>
      <c r="B15">
        <v>10.674494943390011</v>
      </c>
      <c r="C15">
        <v>63.471642519687435</v>
      </c>
      <c r="D15" s="1">
        <v>250455.67485675981</v>
      </c>
      <c r="E15">
        <f t="shared" si="0"/>
        <v>5.3987308764370123</v>
      </c>
      <c r="F15">
        <f t="shared" si="1"/>
        <v>1.8025797371355528</v>
      </c>
      <c r="G15">
        <f t="shared" si="2"/>
        <v>7.4893683894928564E-2</v>
      </c>
      <c r="H15">
        <v>-4.2960851721309146E-2</v>
      </c>
    </row>
    <row r="16" spans="1:8" x14ac:dyDescent="0.3">
      <c r="A16">
        <v>15</v>
      </c>
      <c r="B16">
        <v>10.645856295630139</v>
      </c>
      <c r="C16">
        <v>57.493518223745575</v>
      </c>
      <c r="D16" s="1">
        <v>297594.26688804489</v>
      </c>
      <c r="E16">
        <f t="shared" si="0"/>
        <v>5.4736245603319409</v>
      </c>
      <c r="F16">
        <f t="shared" si="1"/>
        <v>1.7596188854142436</v>
      </c>
      <c r="G16">
        <f t="shared" si="2"/>
        <v>-0.11299215373043747</v>
      </c>
      <c r="H16">
        <v>-3.331227337644016E-5</v>
      </c>
    </row>
    <row r="17" spans="1:8" x14ac:dyDescent="0.3">
      <c r="A17">
        <v>16</v>
      </c>
      <c r="B17">
        <v>10.719085995146081</v>
      </c>
      <c r="C17">
        <v>57.489108390269614</v>
      </c>
      <c r="D17" s="1">
        <v>229420.59755411156</v>
      </c>
      <c r="E17">
        <f t="shared" si="0"/>
        <v>5.3606324066015034</v>
      </c>
      <c r="F17">
        <f t="shared" si="1"/>
        <v>1.7595855731408672</v>
      </c>
      <c r="G17">
        <f t="shared" si="2"/>
        <v>-9.8187023351995251E-2</v>
      </c>
      <c r="H17">
        <v>-8.8736332715691812E-2</v>
      </c>
    </row>
    <row r="18" spans="1:8" x14ac:dyDescent="0.3">
      <c r="A18">
        <v>17</v>
      </c>
      <c r="B18">
        <v>10.452824325035776</v>
      </c>
      <c r="C18">
        <v>46.865066803526787</v>
      </c>
      <c r="D18" s="1">
        <v>182997.59545840134</v>
      </c>
      <c r="E18">
        <f t="shared" si="0"/>
        <v>5.2624453832495082</v>
      </c>
      <c r="F18">
        <f t="shared" si="1"/>
        <v>1.6708492404251754</v>
      </c>
      <c r="G18">
        <f t="shared" si="2"/>
        <v>-1.1860101368402214</v>
      </c>
      <c r="H18">
        <v>-0.1813829343411808</v>
      </c>
    </row>
    <row r="19" spans="1:8" x14ac:dyDescent="0.3">
      <c r="A19">
        <v>18</v>
      </c>
      <c r="B19">
        <v>15.22907355742295</v>
      </c>
      <c r="C19">
        <v>30.865001761158585</v>
      </c>
      <c r="D19" s="1">
        <v>11924.36459546217</v>
      </c>
      <c r="E19">
        <f t="shared" si="0"/>
        <v>4.0764352464092868</v>
      </c>
      <c r="F19">
        <f t="shared" si="1"/>
        <v>1.4894663060839946</v>
      </c>
      <c r="G19">
        <f t="shared" si="2"/>
        <v>0.38864459940563201</v>
      </c>
      <c r="H19">
        <v>0.1094500038541395</v>
      </c>
    </row>
    <row r="20" spans="1:8" x14ac:dyDescent="0.3">
      <c r="A20">
        <v>19</v>
      </c>
      <c r="B20">
        <v>11.59302120567998</v>
      </c>
      <c r="C20">
        <v>39.711501664641006</v>
      </c>
      <c r="D20" s="1">
        <v>29179.63437469651</v>
      </c>
      <c r="E20">
        <f t="shared" si="0"/>
        <v>4.4650798458149188</v>
      </c>
      <c r="F20">
        <f t="shared" si="1"/>
        <v>1.5989163099381341</v>
      </c>
      <c r="G20">
        <f t="shared" si="2"/>
        <v>0.89217145877508131</v>
      </c>
      <c r="H20">
        <v>1.5567630411964739E-2</v>
      </c>
    </row>
    <row r="21" spans="1:8" x14ac:dyDescent="0.3">
      <c r="A21">
        <v>20</v>
      </c>
      <c r="B21">
        <v>10.635958965226529</v>
      </c>
      <c r="C21">
        <v>41.160812628361477</v>
      </c>
      <c r="D21" s="1">
        <v>227641.42973274339</v>
      </c>
      <c r="E21">
        <f t="shared" si="0"/>
        <v>5.3572513045900001</v>
      </c>
      <c r="F21">
        <f t="shared" si="1"/>
        <v>1.6144839403500988</v>
      </c>
      <c r="G21">
        <f t="shared" si="2"/>
        <v>-1.0071397790857235</v>
      </c>
      <c r="H21">
        <v>0.12541964299442254</v>
      </c>
    </row>
    <row r="22" spans="1:8" x14ac:dyDescent="0.3">
      <c r="A22">
        <v>21</v>
      </c>
      <c r="B22">
        <v>12.229907750853872</v>
      </c>
      <c r="C22">
        <v>54.941888517431003</v>
      </c>
      <c r="D22" s="1">
        <v>22392.961091813439</v>
      </c>
      <c r="E22">
        <f t="shared" si="0"/>
        <v>4.3501115255042766</v>
      </c>
      <c r="F22">
        <f t="shared" si="1"/>
        <v>1.7399035833445213</v>
      </c>
      <c r="G22">
        <f t="shared" si="2"/>
        <v>2.6884739033461891E-2</v>
      </c>
      <c r="H22">
        <v>4.5503680096285581E-2</v>
      </c>
    </row>
    <row r="23" spans="1:8" x14ac:dyDescent="0.3">
      <c r="A23">
        <v>22</v>
      </c>
      <c r="B23">
        <v>14.121511432090191</v>
      </c>
      <c r="C23">
        <v>61.010876387998415</v>
      </c>
      <c r="D23" s="1">
        <v>23822.989785936152</v>
      </c>
      <c r="E23">
        <f t="shared" si="0"/>
        <v>4.3769962645377385</v>
      </c>
      <c r="F23">
        <f t="shared" si="1"/>
        <v>1.7854072634408069</v>
      </c>
      <c r="G23">
        <f t="shared" si="2"/>
        <v>0.57897699470667607</v>
      </c>
      <c r="H23">
        <v>1.8153154245813541E-2</v>
      </c>
    </row>
    <row r="24" spans="1:8" x14ac:dyDescent="0.3">
      <c r="A24">
        <v>23</v>
      </c>
      <c r="B24">
        <v>11.416220279823268</v>
      </c>
      <c r="C24">
        <v>63.615129805564273</v>
      </c>
      <c r="D24" s="1">
        <v>90359.383514801157</v>
      </c>
      <c r="E24">
        <f t="shared" si="0"/>
        <v>4.9559732592444146</v>
      </c>
      <c r="F24">
        <f t="shared" si="1"/>
        <v>1.8035604176866205</v>
      </c>
      <c r="G24">
        <f t="shared" si="2"/>
        <v>9.0384769473730309E-2</v>
      </c>
      <c r="H24">
        <v>2.8089499986495126E-2</v>
      </c>
    </row>
    <row r="25" spans="1:8" x14ac:dyDescent="0.3">
      <c r="A25">
        <v>24</v>
      </c>
      <c r="B25">
        <v>11.575620135760524</v>
      </c>
      <c r="C25">
        <v>67.865635101826712</v>
      </c>
      <c r="D25" s="1">
        <v>111264.86074493015</v>
      </c>
      <c r="E25">
        <f t="shared" si="0"/>
        <v>5.0463580287181449</v>
      </c>
      <c r="F25">
        <f t="shared" si="1"/>
        <v>1.8316499176731156</v>
      </c>
      <c r="G25">
        <f t="shared" si="2"/>
        <v>-3.579821930361593E-2</v>
      </c>
      <c r="H25">
        <v>7.7244704916414886E-2</v>
      </c>
    </row>
    <row r="26" spans="1:8" x14ac:dyDescent="0.3">
      <c r="A26">
        <v>25</v>
      </c>
      <c r="B26">
        <v>10.807012724968937</v>
      </c>
      <c r="C26">
        <v>81.076430976468146</v>
      </c>
      <c r="D26" s="1">
        <v>102461.28764543049</v>
      </c>
      <c r="E26">
        <f t="shared" si="0"/>
        <v>5.0105598094145289</v>
      </c>
      <c r="F26">
        <f t="shared" si="1"/>
        <v>1.9088946225895305</v>
      </c>
      <c r="G26">
        <f t="shared" si="2"/>
        <v>0.24089805218126426</v>
      </c>
      <c r="H26">
        <v>5.0162922462953841E-2</v>
      </c>
    </row>
    <row r="27" spans="1:8" x14ac:dyDescent="0.3">
      <c r="A27">
        <v>26</v>
      </c>
      <c r="B27">
        <v>10.898899629776585</v>
      </c>
      <c r="C27">
        <v>91.003384629446487</v>
      </c>
      <c r="D27" s="1">
        <v>178425.88583907246</v>
      </c>
      <c r="E27">
        <f t="shared" si="0"/>
        <v>5.2514578615957932</v>
      </c>
      <c r="F27">
        <f t="shared" si="1"/>
        <v>1.9590575450524843</v>
      </c>
      <c r="G27">
        <f t="shared" si="2"/>
        <v>0.14329263091338884</v>
      </c>
      <c r="H27">
        <v>-6.4381885090446955E-2</v>
      </c>
    </row>
    <row r="28" spans="1:8" x14ac:dyDescent="0.3">
      <c r="A28">
        <v>27</v>
      </c>
      <c r="B28">
        <v>11.220304388637318</v>
      </c>
      <c r="C28">
        <v>78.464942343669165</v>
      </c>
      <c r="D28" s="1">
        <v>248170.6924678802</v>
      </c>
      <c r="E28">
        <f t="shared" si="0"/>
        <v>5.394750492509182</v>
      </c>
      <c r="F28">
        <f t="shared" si="1"/>
        <v>1.8946756599620374</v>
      </c>
      <c r="G28">
        <f t="shared" si="2"/>
        <v>-7.7362062787964092E-2</v>
      </c>
      <c r="H28">
        <v>-4.684290577524286E-2</v>
      </c>
    </row>
    <row r="29" spans="1:8" x14ac:dyDescent="0.3">
      <c r="A29">
        <v>28</v>
      </c>
      <c r="B29">
        <v>11.210635004922976</v>
      </c>
      <c r="C29">
        <v>70.442174552193066</v>
      </c>
      <c r="D29" s="1">
        <v>207677.01346619811</v>
      </c>
      <c r="E29">
        <f t="shared" si="0"/>
        <v>5.3173884297212179</v>
      </c>
      <c r="F29">
        <f t="shared" si="1"/>
        <v>1.8478327541867945</v>
      </c>
      <c r="G29">
        <f t="shared" si="2"/>
        <v>5.8900636479908286E-4</v>
      </c>
      <c r="H29">
        <v>-3.6399751579745176E-2</v>
      </c>
    </row>
    <row r="30" spans="1:8" x14ac:dyDescent="0.3">
      <c r="A30">
        <v>29</v>
      </c>
      <c r="B30">
        <v>11.193824085363213</v>
      </c>
      <c r="C30">
        <v>64.778815509646876</v>
      </c>
      <c r="D30" s="1">
        <v>207958.86385787776</v>
      </c>
      <c r="E30">
        <f t="shared" si="0"/>
        <v>5.317977436086017</v>
      </c>
      <c r="F30">
        <f t="shared" si="1"/>
        <v>1.8114330026070493</v>
      </c>
      <c r="G30">
        <f t="shared" si="2"/>
        <v>7.2984896489687756E-2</v>
      </c>
      <c r="H30">
        <v>-2.615701912290036E-2</v>
      </c>
    </row>
    <row r="31" spans="1:8" x14ac:dyDescent="0.3">
      <c r="A31">
        <v>30</v>
      </c>
      <c r="B31">
        <v>11.380645879132326</v>
      </c>
      <c r="C31">
        <v>60.992436607863418</v>
      </c>
      <c r="D31" s="1">
        <v>246015.42196920348</v>
      </c>
      <c r="E31">
        <f t="shared" si="0"/>
        <v>5.3909623325757048</v>
      </c>
      <c r="F31">
        <f t="shared" si="1"/>
        <v>1.785275983484149</v>
      </c>
      <c r="G31">
        <f t="shared" si="2"/>
        <v>7.3653475354213072E-2</v>
      </c>
      <c r="H31">
        <v>3.8110354089442078E-2</v>
      </c>
    </row>
    <row r="32" spans="1:8" x14ac:dyDescent="0.3">
      <c r="A32">
        <v>31</v>
      </c>
      <c r="B32">
        <v>11.565936423184061</v>
      </c>
      <c r="C32">
        <v>66.586522996936068</v>
      </c>
      <c r="D32" s="1">
        <v>291484.72973708471</v>
      </c>
      <c r="E32">
        <f t="shared" si="0"/>
        <v>5.4646158079299179</v>
      </c>
      <c r="F32">
        <f t="shared" si="1"/>
        <v>1.823386337573591</v>
      </c>
      <c r="G32">
        <f t="shared" si="2"/>
        <v>-0.11111464255223868</v>
      </c>
      <c r="H32">
        <v>-1.8896825954793028E-2</v>
      </c>
    </row>
    <row r="33" spans="1:8" x14ac:dyDescent="0.3">
      <c r="A33">
        <v>32</v>
      </c>
      <c r="B33">
        <v>11.060240389398642</v>
      </c>
      <c r="C33">
        <v>63.751368464474758</v>
      </c>
      <c r="D33" s="1">
        <v>225684.20514567927</v>
      </c>
      <c r="E33">
        <f t="shared" si="0"/>
        <v>5.3535011653776792</v>
      </c>
      <c r="F33">
        <f t="shared" si="1"/>
        <v>1.804489511618798</v>
      </c>
      <c r="G33">
        <f t="shared" si="2"/>
        <v>-1.0498754042557401E-2</v>
      </c>
      <c r="H33">
        <v>-8.882340883856088E-3</v>
      </c>
    </row>
    <row r="34" spans="1:8" x14ac:dyDescent="0.3">
      <c r="A34">
        <v>33</v>
      </c>
      <c r="B34">
        <v>10.735568686186626</v>
      </c>
      <c r="C34">
        <v>62.460746548402327</v>
      </c>
      <c r="D34" s="1">
        <v>220293.86944054958</v>
      </c>
      <c r="E34">
        <f t="shared" si="0"/>
        <v>5.3430024113351218</v>
      </c>
      <c r="F34">
        <f t="shared" si="1"/>
        <v>1.7956071707349419</v>
      </c>
      <c r="G34">
        <f t="shared" si="2"/>
        <v>4.294377918203196E-2</v>
      </c>
      <c r="H34">
        <v>1.2794197961397913E-2</v>
      </c>
    </row>
    <row r="35" spans="1:8" x14ac:dyDescent="0.3">
      <c r="A35">
        <v>34</v>
      </c>
      <c r="B35">
        <v>10.83301116060616</v>
      </c>
      <c r="C35">
        <v>64.328195458633147</v>
      </c>
      <c r="D35" s="1">
        <v>243190.26754444771</v>
      </c>
      <c r="E35">
        <f t="shared" si="0"/>
        <v>5.3859461905171537</v>
      </c>
      <c r="F35">
        <f t="shared" si="1"/>
        <v>1.8084013686963398</v>
      </c>
      <c r="G35">
        <f t="shared" si="2"/>
        <v>4.910081813514644E-2</v>
      </c>
      <c r="H35">
        <v>-3.4811413842480654E-2</v>
      </c>
    </row>
    <row r="36" spans="1:8" x14ac:dyDescent="0.3">
      <c r="A36">
        <v>35</v>
      </c>
      <c r="B36">
        <v>10.848157575752744</v>
      </c>
      <c r="C36">
        <v>59.373131425458922</v>
      </c>
      <c r="D36" s="1">
        <v>272299.60330896964</v>
      </c>
      <c r="E36">
        <f t="shared" si="0"/>
        <v>5.4350470086523002</v>
      </c>
      <c r="F36">
        <f t="shared" si="1"/>
        <v>1.7735899548538592</v>
      </c>
      <c r="G36">
        <f t="shared" si="2"/>
        <v>-7.2791205892239752E-2</v>
      </c>
      <c r="H36">
        <v>-3.0027932672032964E-2</v>
      </c>
    </row>
    <row r="37" spans="1:8" x14ac:dyDescent="0.3">
      <c r="A37">
        <v>36</v>
      </c>
      <c r="B37">
        <v>11.193300848095404</v>
      </c>
      <c r="C37">
        <v>55.406666529793149</v>
      </c>
      <c r="D37" s="1">
        <v>230279.77834786676</v>
      </c>
      <c r="E37">
        <f t="shared" si="0"/>
        <v>5.3622558027600604</v>
      </c>
      <c r="F37">
        <f t="shared" si="1"/>
        <v>1.7435620221818262</v>
      </c>
      <c r="G37">
        <f t="shared" si="2"/>
        <v>-4.0678889204908586E-2</v>
      </c>
      <c r="H37">
        <v>2.5866287043319947E-2</v>
      </c>
    </row>
    <row r="38" spans="1:8" x14ac:dyDescent="0.3">
      <c r="A38">
        <v>37</v>
      </c>
      <c r="B38">
        <v>10.544054446232417</v>
      </c>
      <c r="C38">
        <v>58.806903115868217</v>
      </c>
      <c r="D38" s="1">
        <v>209689.61077222408</v>
      </c>
      <c r="E38">
        <f t="shared" si="0"/>
        <v>5.3215769135551518</v>
      </c>
      <c r="F38">
        <f t="shared" si="1"/>
        <v>1.7694283092251462</v>
      </c>
      <c r="G38">
        <f t="shared" si="2"/>
        <v>-5.3215769135551518</v>
      </c>
      <c r="H38">
        <v>-1.7694283092251462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B473-62F5-46C0-8E18-BB9132C2D23D}">
  <dimension ref="A1:H38"/>
  <sheetViews>
    <sheetView workbookViewId="0">
      <selection activeCell="J12" sqref="J12"/>
    </sheetView>
  </sheetViews>
  <sheetFormatPr defaultRowHeight="14.4" x14ac:dyDescent="0.3"/>
  <cols>
    <col min="1" max="1" width="5.44140625" bestFit="1" customWidth="1"/>
    <col min="3" max="3" width="14.77734375" bestFit="1" customWidth="1"/>
    <col min="4" max="4" width="10.44140625" style="1" bestFit="1" customWidth="1"/>
    <col min="5" max="5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10.074318173957669</v>
      </c>
      <c r="C2">
        <v>35.09819151813636</v>
      </c>
      <c r="D2" s="1">
        <v>480796.8348521298</v>
      </c>
      <c r="E2">
        <f>LOG10(D2)</f>
        <v>5.6819615999872388</v>
      </c>
      <c r="F2">
        <f>LOG10(C2)</f>
        <v>1.5452847394308267</v>
      </c>
      <c r="G2">
        <f>E3-E2</f>
        <v>5.9465634444645588E-2</v>
      </c>
      <c r="H2">
        <v>0.12192006688271695</v>
      </c>
    </row>
    <row r="3" spans="1:8" x14ac:dyDescent="0.3">
      <c r="A3">
        <v>2</v>
      </c>
      <c r="B3">
        <v>9.7731067372198037</v>
      </c>
      <c r="C3">
        <v>46.473438483804742</v>
      </c>
      <c r="D3" s="1">
        <v>551349.81658025528</v>
      </c>
      <c r="E3">
        <f t="shared" ref="E3:E38" si="0">LOG10(D3)</f>
        <v>5.7414272344318844</v>
      </c>
      <c r="F3">
        <f t="shared" ref="F3:F38" si="1">LOG10(C3)</f>
        <v>1.6672048063135436</v>
      </c>
      <c r="G3">
        <f t="shared" ref="G3:G38" si="2">E4-E3</f>
        <v>2.9782692590476501E-3</v>
      </c>
      <c r="H3">
        <v>-1.5783054188938106E-3</v>
      </c>
    </row>
    <row r="4" spans="1:8" x14ac:dyDescent="0.3">
      <c r="A4">
        <v>3</v>
      </c>
      <c r="B4">
        <v>9.4135250465619205</v>
      </c>
      <c r="C4">
        <v>46.304852048057228</v>
      </c>
      <c r="D4" s="1">
        <v>555143.81257089612</v>
      </c>
      <c r="E4">
        <f t="shared" si="0"/>
        <v>5.7444055036909321</v>
      </c>
      <c r="F4">
        <f t="shared" si="1"/>
        <v>1.6656265008946498</v>
      </c>
      <c r="G4">
        <f t="shared" si="2"/>
        <v>-5.8758484839057878E-2</v>
      </c>
      <c r="H4">
        <v>3.3712047762656239E-2</v>
      </c>
    </row>
    <row r="5" spans="1:8" x14ac:dyDescent="0.3">
      <c r="A5">
        <v>4</v>
      </c>
      <c r="B5">
        <v>9.7007948963886523</v>
      </c>
      <c r="C5">
        <v>50.042448241355551</v>
      </c>
      <c r="D5" s="1">
        <v>484894.23289598676</v>
      </c>
      <c r="E5">
        <f t="shared" si="0"/>
        <v>5.6856470188518742</v>
      </c>
      <c r="F5">
        <f t="shared" si="1"/>
        <v>1.699338548657306</v>
      </c>
      <c r="G5">
        <f t="shared" si="2"/>
        <v>-1.8905734329423218E-2</v>
      </c>
      <c r="H5">
        <v>2.7254940310033282E-2</v>
      </c>
    </row>
    <row r="6" spans="1:8" x14ac:dyDescent="0.3">
      <c r="A6">
        <v>5</v>
      </c>
      <c r="B6">
        <v>9.6813196360860427</v>
      </c>
      <c r="C6">
        <v>53.283591359513949</v>
      </c>
      <c r="D6" s="1">
        <v>464238.63918959792</v>
      </c>
      <c r="E6">
        <f t="shared" si="0"/>
        <v>5.666741284522451</v>
      </c>
      <c r="F6">
        <f t="shared" si="1"/>
        <v>1.7265934889673393</v>
      </c>
      <c r="G6">
        <f t="shared" si="2"/>
        <v>7.8927028342670624E-2</v>
      </c>
      <c r="H6">
        <v>-3.186025766583489E-2</v>
      </c>
    </row>
    <row r="7" spans="1:8" x14ac:dyDescent="0.3">
      <c r="A7">
        <v>6</v>
      </c>
      <c r="B7">
        <v>9.6701757280992311</v>
      </c>
      <c r="C7">
        <v>49.514595019620323</v>
      </c>
      <c r="D7" s="1">
        <v>556760.3675453132</v>
      </c>
      <c r="E7">
        <f t="shared" si="0"/>
        <v>5.7456683128651216</v>
      </c>
      <c r="F7">
        <f t="shared" si="1"/>
        <v>1.6947332313015044</v>
      </c>
      <c r="G7">
        <f t="shared" si="2"/>
        <v>5.9365498302712538E-3</v>
      </c>
      <c r="H7">
        <v>8.3994511265832461E-3</v>
      </c>
    </row>
    <row r="8" spans="1:8" x14ac:dyDescent="0.3">
      <c r="A8">
        <v>7</v>
      </c>
      <c r="B8">
        <v>9.2519294472110971</v>
      </c>
      <c r="C8">
        <v>50.481550149350717</v>
      </c>
      <c r="D8" s="1">
        <v>564423.20785656024</v>
      </c>
      <c r="E8">
        <f t="shared" si="0"/>
        <v>5.7516048626953928</v>
      </c>
      <c r="F8">
        <f t="shared" si="1"/>
        <v>1.7031326824280877</v>
      </c>
      <c r="G8">
        <f t="shared" si="2"/>
        <v>-4.7145965298216019E-2</v>
      </c>
      <c r="H8">
        <v>6.7230932088937934E-2</v>
      </c>
    </row>
    <row r="9" spans="1:8" x14ac:dyDescent="0.3">
      <c r="A9">
        <v>8</v>
      </c>
      <c r="B9">
        <v>9.8936972306677831</v>
      </c>
      <c r="C9">
        <v>58.933687313368807</v>
      </c>
      <c r="D9" s="1">
        <v>506359.42426557711</v>
      </c>
      <c r="E9">
        <f t="shared" si="0"/>
        <v>5.7044588973971768</v>
      </c>
      <c r="F9">
        <f t="shared" si="1"/>
        <v>1.7703636145170256</v>
      </c>
      <c r="G9">
        <f t="shared" si="2"/>
        <v>9.6961003583100336E-3</v>
      </c>
      <c r="H9">
        <v>3.4732982241375776E-2</v>
      </c>
    </row>
    <row r="10" spans="1:8" x14ac:dyDescent="0.3">
      <c r="A10">
        <v>9</v>
      </c>
      <c r="B10">
        <v>10.507987589891727</v>
      </c>
      <c r="C10">
        <v>63.840546598417049</v>
      </c>
      <c r="D10" s="1">
        <v>517791.59647950472</v>
      </c>
      <c r="E10">
        <f t="shared" si="0"/>
        <v>5.7141549977554869</v>
      </c>
      <c r="F10">
        <f t="shared" si="1"/>
        <v>1.8050965967584014</v>
      </c>
      <c r="G10">
        <f t="shared" si="2"/>
        <v>7.7859922131298553E-2</v>
      </c>
      <c r="H10">
        <v>4.4961411260354023E-2</v>
      </c>
    </row>
    <row r="11" spans="1:8" x14ac:dyDescent="0.3">
      <c r="A11">
        <v>10</v>
      </c>
      <c r="B11">
        <v>10.427605896918873</v>
      </c>
      <c r="C11">
        <v>70.804034988466199</v>
      </c>
      <c r="D11" s="1">
        <v>619462.35591236257</v>
      </c>
      <c r="E11">
        <f t="shared" si="0"/>
        <v>5.7920149198867854</v>
      </c>
      <c r="F11">
        <f t="shared" si="1"/>
        <v>1.8500580080187554</v>
      </c>
      <c r="G11">
        <f t="shared" si="2"/>
        <v>8.4955161434123738E-3</v>
      </c>
      <c r="H11">
        <v>5.1119086277107151E-3</v>
      </c>
    </row>
    <row r="12" spans="1:8" x14ac:dyDescent="0.3">
      <c r="A12">
        <v>11</v>
      </c>
      <c r="B12">
        <v>9.9763006750541994</v>
      </c>
      <c r="C12">
        <v>71.642365437727776</v>
      </c>
      <c r="D12" s="1">
        <v>631699.35874443187</v>
      </c>
      <c r="E12">
        <f t="shared" si="0"/>
        <v>5.8005104360301978</v>
      </c>
      <c r="F12">
        <f t="shared" si="1"/>
        <v>1.8551699166464661</v>
      </c>
      <c r="G12">
        <f t="shared" si="2"/>
        <v>-5.062597980129091E-2</v>
      </c>
      <c r="H12">
        <v>-4.8493749650036611E-2</v>
      </c>
    </row>
    <row r="13" spans="1:8" x14ac:dyDescent="0.3">
      <c r="A13">
        <v>12</v>
      </c>
      <c r="B13">
        <v>10.559375942188399</v>
      </c>
      <c r="C13">
        <v>64.073163492231856</v>
      </c>
      <c r="D13" s="1">
        <v>562191.73453805258</v>
      </c>
      <c r="E13">
        <f t="shared" si="0"/>
        <v>5.7498844562289069</v>
      </c>
      <c r="F13">
        <f t="shared" si="1"/>
        <v>1.8066761669964295</v>
      </c>
      <c r="G13">
        <f t="shared" si="2"/>
        <v>-1.9189817643652241E-2</v>
      </c>
      <c r="H13">
        <v>-3.1179607906453244E-2</v>
      </c>
    </row>
    <row r="14" spans="1:8" x14ac:dyDescent="0.3">
      <c r="A14">
        <v>13</v>
      </c>
      <c r="B14">
        <v>10.420819631997791</v>
      </c>
      <c r="C14">
        <v>59.634359499218604</v>
      </c>
      <c r="D14" s="1">
        <v>537891.44694483001</v>
      </c>
      <c r="E14">
        <f t="shared" si="0"/>
        <v>5.7306946385852546</v>
      </c>
      <c r="F14">
        <f t="shared" si="1"/>
        <v>1.7754965590899763</v>
      </c>
      <c r="G14">
        <f t="shared" si="2"/>
        <v>8.6252926730343127E-2</v>
      </c>
      <c r="H14">
        <v>2.7083178045576473E-2</v>
      </c>
    </row>
    <row r="15" spans="1:8" x14ac:dyDescent="0.3">
      <c r="A15">
        <v>14</v>
      </c>
      <c r="B15">
        <v>10.385228676405971</v>
      </c>
      <c r="C15">
        <v>63.471642519687435</v>
      </c>
      <c r="D15" s="1">
        <v>656066.05117459444</v>
      </c>
      <c r="E15">
        <f t="shared" si="0"/>
        <v>5.8169475653155978</v>
      </c>
      <c r="F15">
        <f t="shared" si="1"/>
        <v>1.8025797371355528</v>
      </c>
      <c r="G15">
        <f t="shared" si="2"/>
        <v>1.7859991730873048E-4</v>
      </c>
      <c r="H15">
        <v>-4.2960851721309146E-2</v>
      </c>
    </row>
    <row r="16" spans="1:8" x14ac:dyDescent="0.3">
      <c r="A16">
        <v>15</v>
      </c>
      <c r="B16">
        <v>9.8162769323489929</v>
      </c>
      <c r="C16">
        <v>57.493518223745575</v>
      </c>
      <c r="D16" s="1">
        <v>656335.90825071838</v>
      </c>
      <c r="E16">
        <f t="shared" si="0"/>
        <v>5.8171261652329065</v>
      </c>
      <c r="F16">
        <f t="shared" si="1"/>
        <v>1.7596188854142436</v>
      </c>
      <c r="G16">
        <f t="shared" si="2"/>
        <v>-4.9834268710855056E-2</v>
      </c>
      <c r="H16">
        <v>-3.331227337644016E-5</v>
      </c>
    </row>
    <row r="17" spans="1:8" x14ac:dyDescent="0.3">
      <c r="A17">
        <v>16</v>
      </c>
      <c r="B17">
        <v>10.444478892204073</v>
      </c>
      <c r="C17">
        <v>57.489108390269614</v>
      </c>
      <c r="D17" s="1">
        <v>585183.26337240974</v>
      </c>
      <c r="E17">
        <f t="shared" si="0"/>
        <v>5.7672918965220514</v>
      </c>
      <c r="F17">
        <f t="shared" si="1"/>
        <v>1.7595855731408672</v>
      </c>
      <c r="G17">
        <f t="shared" si="2"/>
        <v>-0.13306910090849389</v>
      </c>
      <c r="H17">
        <v>-8.8736332715691812E-2</v>
      </c>
    </row>
    <row r="18" spans="1:8" x14ac:dyDescent="0.3">
      <c r="A18">
        <v>17</v>
      </c>
      <c r="B18">
        <v>10.002961539797754</v>
      </c>
      <c r="C18">
        <v>46.865066803526787</v>
      </c>
      <c r="D18" s="1">
        <v>430747.52982677089</v>
      </c>
      <c r="E18">
        <f t="shared" si="0"/>
        <v>5.6342227956135575</v>
      </c>
      <c r="F18">
        <f t="shared" si="1"/>
        <v>1.6708492404251754</v>
      </c>
      <c r="G18">
        <f t="shared" si="2"/>
        <v>-1.0434873384178864</v>
      </c>
      <c r="H18">
        <v>-0.1813829343411808</v>
      </c>
    </row>
    <row r="19" spans="1:8" x14ac:dyDescent="0.3">
      <c r="A19">
        <v>18</v>
      </c>
      <c r="B19">
        <v>10.762345560292845</v>
      </c>
      <c r="C19">
        <v>30.865001761158585</v>
      </c>
      <c r="D19" s="1">
        <v>38970.453273820392</v>
      </c>
      <c r="E19">
        <f t="shared" si="0"/>
        <v>4.5907354571956711</v>
      </c>
      <c r="F19">
        <f t="shared" si="1"/>
        <v>1.4894663060839946</v>
      </c>
      <c r="G19">
        <f t="shared" si="2"/>
        <v>0.45088278466080034</v>
      </c>
      <c r="H19">
        <v>0.1094500038541395</v>
      </c>
    </row>
    <row r="20" spans="1:8" x14ac:dyDescent="0.3">
      <c r="A20">
        <v>19</v>
      </c>
      <c r="B20">
        <v>9.5328839170371076</v>
      </c>
      <c r="C20">
        <v>39.711501664641006</v>
      </c>
      <c r="D20" s="1">
        <v>110057.14482219341</v>
      </c>
      <c r="E20">
        <f t="shared" si="0"/>
        <v>5.0416182418564714</v>
      </c>
      <c r="F20">
        <f t="shared" si="1"/>
        <v>1.5989163099381341</v>
      </c>
      <c r="G20">
        <f t="shared" si="2"/>
        <v>0.14073741812739726</v>
      </c>
      <c r="H20">
        <v>1.5567630411964739E-2</v>
      </c>
    </row>
    <row r="21" spans="1:8" x14ac:dyDescent="0.3">
      <c r="A21">
        <v>20</v>
      </c>
      <c r="B21">
        <v>10.023007791354599</v>
      </c>
      <c r="C21">
        <v>41.160812628361477</v>
      </c>
      <c r="D21" s="1">
        <v>152179.32729613688</v>
      </c>
      <c r="E21">
        <f t="shared" si="0"/>
        <v>5.1823556599838687</v>
      </c>
      <c r="F21">
        <f t="shared" si="1"/>
        <v>1.6144839403500988</v>
      </c>
      <c r="G21">
        <f t="shared" si="2"/>
        <v>3.6527245224151628E-3</v>
      </c>
      <c r="H21">
        <v>0.12541964299442254</v>
      </c>
    </row>
    <row r="22" spans="1:8" x14ac:dyDescent="0.3">
      <c r="A22">
        <v>21</v>
      </c>
      <c r="B22">
        <v>8.5505159932075312</v>
      </c>
      <c r="C22">
        <v>54.941888517431003</v>
      </c>
      <c r="D22" s="1">
        <v>153464.66104608876</v>
      </c>
      <c r="E22">
        <f t="shared" si="0"/>
        <v>5.1860083845062839</v>
      </c>
      <c r="F22">
        <f t="shared" si="1"/>
        <v>1.7399035833445213</v>
      </c>
      <c r="G22">
        <f t="shared" si="2"/>
        <v>0.28047507639837477</v>
      </c>
      <c r="H22">
        <v>4.5503680096285581E-2</v>
      </c>
    </row>
    <row r="23" spans="1:8" x14ac:dyDescent="0.3">
      <c r="A23">
        <v>22</v>
      </c>
      <c r="B23">
        <v>8.7949808792795405</v>
      </c>
      <c r="C23">
        <v>61.010876387998415</v>
      </c>
      <c r="D23" s="1">
        <v>292740.93856681953</v>
      </c>
      <c r="E23">
        <f t="shared" si="0"/>
        <v>5.4664834609046586</v>
      </c>
      <c r="F23">
        <f t="shared" si="1"/>
        <v>1.7854072634408069</v>
      </c>
      <c r="G23">
        <f t="shared" si="2"/>
        <v>0.22141673402180828</v>
      </c>
      <c r="H23">
        <v>1.8153154245813541E-2</v>
      </c>
    </row>
    <row r="24" spans="1:8" x14ac:dyDescent="0.3">
      <c r="A24">
        <v>23</v>
      </c>
      <c r="B24">
        <v>9.0123784592675111</v>
      </c>
      <c r="C24">
        <v>63.615129805564273</v>
      </c>
      <c r="D24" s="1">
        <v>487416.46421256481</v>
      </c>
      <c r="E24">
        <f t="shared" si="0"/>
        <v>5.6879001949264669</v>
      </c>
      <c r="F24">
        <f t="shared" si="1"/>
        <v>1.8035604176866205</v>
      </c>
      <c r="G24">
        <f t="shared" si="2"/>
        <v>-0.53391754508341993</v>
      </c>
      <c r="H24">
        <v>2.8089499986495126E-2</v>
      </c>
    </row>
    <row r="25" spans="1:8" x14ac:dyDescent="0.3">
      <c r="A25">
        <v>24</v>
      </c>
      <c r="B25">
        <v>9.3891236344144282</v>
      </c>
      <c r="C25">
        <v>67.865635101826712</v>
      </c>
      <c r="D25" s="1">
        <v>142555.06414131427</v>
      </c>
      <c r="E25">
        <f t="shared" si="0"/>
        <v>5.153982649843047</v>
      </c>
      <c r="F25">
        <f t="shared" si="1"/>
        <v>1.8316499176731156</v>
      </c>
      <c r="G25">
        <f t="shared" si="2"/>
        <v>0.39886214027120204</v>
      </c>
      <c r="H25">
        <v>7.7244704916414886E-2</v>
      </c>
    </row>
    <row r="26" spans="1:8" x14ac:dyDescent="0.3">
      <c r="A26">
        <v>25</v>
      </c>
      <c r="B26">
        <v>9.228557555045283</v>
      </c>
      <c r="C26">
        <v>81.076430976468146</v>
      </c>
      <c r="D26" s="1">
        <v>357145.17738025245</v>
      </c>
      <c r="E26">
        <f t="shared" si="0"/>
        <v>5.552844790114249</v>
      </c>
      <c r="F26">
        <f t="shared" si="1"/>
        <v>1.9088946225895305</v>
      </c>
      <c r="G26">
        <f t="shared" si="2"/>
        <v>0.19013085973054444</v>
      </c>
      <c r="H26">
        <v>5.0162922462953841E-2</v>
      </c>
    </row>
    <row r="27" spans="1:8" x14ac:dyDescent="0.3">
      <c r="A27">
        <v>26</v>
      </c>
      <c r="B27">
        <v>10.740097530680595</v>
      </c>
      <c r="C27">
        <v>91.003384629446487</v>
      </c>
      <c r="D27" s="1">
        <v>553319.08468313352</v>
      </c>
      <c r="E27">
        <f t="shared" si="0"/>
        <v>5.7429756498447935</v>
      </c>
      <c r="F27">
        <f t="shared" si="1"/>
        <v>1.9590575450524843</v>
      </c>
      <c r="G27">
        <f t="shared" si="2"/>
        <v>1.3998134209959545E-2</v>
      </c>
      <c r="H27">
        <v>-6.4381885090446955E-2</v>
      </c>
    </row>
    <row r="28" spans="1:8" x14ac:dyDescent="0.3">
      <c r="A28">
        <v>27</v>
      </c>
      <c r="B28">
        <v>10.430477507437445</v>
      </c>
      <c r="C28">
        <v>78.464942343669165</v>
      </c>
      <c r="D28" s="1">
        <v>571444.1407224678</v>
      </c>
      <c r="E28">
        <f t="shared" si="0"/>
        <v>5.756973784054753</v>
      </c>
      <c r="F28">
        <f t="shared" si="1"/>
        <v>1.8946756599620374</v>
      </c>
      <c r="G28">
        <f t="shared" si="2"/>
        <v>-2.6875927722151971E-2</v>
      </c>
      <c r="H28">
        <v>-4.684290577524286E-2</v>
      </c>
    </row>
    <row r="29" spans="1:8" x14ac:dyDescent="0.3">
      <c r="A29">
        <v>28</v>
      </c>
      <c r="B29">
        <v>10.641746877097903</v>
      </c>
      <c r="C29">
        <v>70.442174552193066</v>
      </c>
      <c r="D29" s="1">
        <v>537152.81536839379</v>
      </c>
      <c r="E29">
        <f t="shared" si="0"/>
        <v>5.730097856332601</v>
      </c>
      <c r="F29">
        <f t="shared" si="1"/>
        <v>1.8478327541867945</v>
      </c>
      <c r="G29">
        <f t="shared" si="2"/>
        <v>-2.3410280480876899E-2</v>
      </c>
      <c r="H29">
        <v>-3.6399751579745176E-2</v>
      </c>
    </row>
    <row r="30" spans="1:8" x14ac:dyDescent="0.3">
      <c r="A30">
        <v>29</v>
      </c>
      <c r="B30">
        <v>10.243415757704232</v>
      </c>
      <c r="C30">
        <v>64.778815509646876</v>
      </c>
      <c r="D30" s="1">
        <v>508964.5987530502</v>
      </c>
      <c r="E30">
        <f t="shared" si="0"/>
        <v>5.7066875758517241</v>
      </c>
      <c r="F30">
        <f t="shared" si="1"/>
        <v>1.8114330026070493</v>
      </c>
      <c r="G30">
        <f t="shared" si="2"/>
        <v>0.10015867125980016</v>
      </c>
      <c r="H30">
        <v>-2.615701912290036E-2</v>
      </c>
    </row>
    <row r="31" spans="1:8" x14ac:dyDescent="0.3">
      <c r="A31">
        <v>30</v>
      </c>
      <c r="B31">
        <v>10.541783598264118</v>
      </c>
      <c r="C31">
        <v>60.992436607863418</v>
      </c>
      <c r="D31" s="1">
        <v>640982.60990885145</v>
      </c>
      <c r="E31">
        <f t="shared" si="0"/>
        <v>5.8068462471115243</v>
      </c>
      <c r="F31">
        <f t="shared" si="1"/>
        <v>1.785275983484149</v>
      </c>
      <c r="G31">
        <f t="shared" si="2"/>
        <v>-6.581078854551059E-3</v>
      </c>
      <c r="H31">
        <v>3.8110354089442078E-2</v>
      </c>
    </row>
    <row r="32" spans="1:8" x14ac:dyDescent="0.3">
      <c r="A32">
        <v>31</v>
      </c>
      <c r="B32">
        <v>9.8501085467202039</v>
      </c>
      <c r="C32">
        <v>66.586522996936068</v>
      </c>
      <c r="D32" s="1">
        <v>631342.70730203146</v>
      </c>
      <c r="E32">
        <f t="shared" si="0"/>
        <v>5.8002651682569732</v>
      </c>
      <c r="F32">
        <f t="shared" si="1"/>
        <v>1.823386337573591</v>
      </c>
      <c r="G32">
        <f t="shared" si="2"/>
        <v>-3.5403519566831854E-2</v>
      </c>
      <c r="H32">
        <v>-1.8896825954793028E-2</v>
      </c>
    </row>
    <row r="33" spans="1:8" x14ac:dyDescent="0.3">
      <c r="A33">
        <v>32</v>
      </c>
      <c r="B33">
        <v>10.093102232363934</v>
      </c>
      <c r="C33">
        <v>63.751368464474758</v>
      </c>
      <c r="D33" s="1">
        <v>581917.80920694268</v>
      </c>
      <c r="E33">
        <f t="shared" si="0"/>
        <v>5.7648616486901414</v>
      </c>
      <c r="F33">
        <f t="shared" si="1"/>
        <v>1.804489511618798</v>
      </c>
      <c r="G33">
        <f t="shared" si="2"/>
        <v>-4.3037201482188259E-2</v>
      </c>
      <c r="H33">
        <v>-8.882340883856088E-3</v>
      </c>
    </row>
    <row r="34" spans="1:8" x14ac:dyDescent="0.3">
      <c r="A34">
        <v>33</v>
      </c>
      <c r="B34">
        <v>9.7223012687081045</v>
      </c>
      <c r="C34">
        <v>62.460746548402327</v>
      </c>
      <c r="D34" s="1">
        <v>527016.78487286018</v>
      </c>
      <c r="E34">
        <f t="shared" si="0"/>
        <v>5.7218244472079531</v>
      </c>
      <c r="F34">
        <f t="shared" si="1"/>
        <v>1.7956071707349419</v>
      </c>
      <c r="G34">
        <f t="shared" si="2"/>
        <v>9.186822744331824E-2</v>
      </c>
      <c r="H34">
        <v>1.2794197961397913E-2</v>
      </c>
    </row>
    <row r="35" spans="1:8" x14ac:dyDescent="0.3">
      <c r="A35">
        <v>34</v>
      </c>
      <c r="B35">
        <v>9.9809542627627064</v>
      </c>
      <c r="C35">
        <v>64.328195458633147</v>
      </c>
      <c r="D35" s="1">
        <v>651167.43705690175</v>
      </c>
      <c r="E35">
        <f t="shared" si="0"/>
        <v>5.8136926746512714</v>
      </c>
      <c r="F35">
        <f t="shared" si="1"/>
        <v>1.8084013686963398</v>
      </c>
      <c r="G35">
        <f t="shared" si="2"/>
        <v>-2.5185454542748786E-2</v>
      </c>
      <c r="H35">
        <v>-3.4811413842480654E-2</v>
      </c>
    </row>
    <row r="36" spans="1:8" x14ac:dyDescent="0.3">
      <c r="A36">
        <v>35</v>
      </c>
      <c r="B36">
        <v>9.2667659068864658</v>
      </c>
      <c r="C36">
        <v>59.373131425458922</v>
      </c>
      <c r="D36" s="1">
        <v>614479.2472856415</v>
      </c>
      <c r="E36">
        <f t="shared" si="0"/>
        <v>5.7885072201085226</v>
      </c>
      <c r="F36">
        <f t="shared" si="1"/>
        <v>1.7735899548538592</v>
      </c>
      <c r="G36">
        <f t="shared" si="2"/>
        <v>-1.3141406817798185E-2</v>
      </c>
      <c r="H36">
        <v>-3.0027932672032964E-2</v>
      </c>
    </row>
    <row r="37" spans="1:8" x14ac:dyDescent="0.3">
      <c r="A37">
        <v>36</v>
      </c>
      <c r="B37">
        <v>9.8723912562242031</v>
      </c>
      <c r="C37">
        <v>55.406666529793149</v>
      </c>
      <c r="D37" s="1">
        <v>596164.09078961099</v>
      </c>
      <c r="E37">
        <f t="shared" si="0"/>
        <v>5.7753658132907244</v>
      </c>
      <c r="F37">
        <f t="shared" si="1"/>
        <v>1.7435620221818262</v>
      </c>
      <c r="G37">
        <f t="shared" si="2"/>
        <v>-5.1721880414975274E-2</v>
      </c>
      <c r="H37">
        <v>2.5866287043319947E-2</v>
      </c>
    </row>
    <row r="38" spans="1:8" x14ac:dyDescent="0.3">
      <c r="A38">
        <v>37</v>
      </c>
      <c r="B38">
        <v>9.5051791394021201</v>
      </c>
      <c r="C38">
        <v>58.806903115868217</v>
      </c>
      <c r="D38" s="1">
        <v>529229.36412363127</v>
      </c>
      <c r="E38">
        <f t="shared" si="0"/>
        <v>5.7236439328757491</v>
      </c>
      <c r="F38">
        <f t="shared" si="1"/>
        <v>1.7694283092251462</v>
      </c>
      <c r="G38">
        <f t="shared" si="2"/>
        <v>-5.7236439328757491</v>
      </c>
      <c r="H38">
        <v>-1.7694283092251462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Indigo</vt:lpstr>
      <vt:lpstr>Singapore Airlines</vt:lpstr>
      <vt:lpstr>Air Canada</vt:lpstr>
      <vt:lpstr>Delta Airlines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Nagaraja</dc:creator>
  <cp:lastModifiedBy>sai kumar</cp:lastModifiedBy>
  <dcterms:created xsi:type="dcterms:W3CDTF">2025-11-07T20:01:07Z</dcterms:created>
  <dcterms:modified xsi:type="dcterms:W3CDTF">2025-11-08T07:02:10Z</dcterms:modified>
</cp:coreProperties>
</file>